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199.11.194\Sales\CaddyCheck\Invoices\2025\Excel\"/>
    </mc:Choice>
  </mc:AlternateContent>
  <xr:revisionPtr revIDLastSave="0" documentId="13_ncr:1_{FA35BE36-1CB7-41F8-A335-9BA444612CF2}" xr6:coauthVersionLast="47" xr6:coauthVersionMax="47" xr10:uidLastSave="{00000000-0000-0000-0000-000000000000}"/>
  <bookViews>
    <workbookView xWindow="-120" yWindow="-120" windowWidth="29040" windowHeight="15840" xr2:uid="{B03458D2-5032-4604-B60C-FBCAB092CD02}"/>
  </bookViews>
  <sheets>
    <sheet name="July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9" i="2" l="1"/>
  <c r="J29" i="2" s="1"/>
  <c r="I31" i="2"/>
  <c r="J31" i="2" s="1"/>
  <c r="I30" i="2"/>
  <c r="J30" i="2" s="1"/>
  <c r="I32" i="2"/>
  <c r="J32" i="2" s="1"/>
  <c r="I28" i="2"/>
  <c r="J28" i="2" s="1"/>
  <c r="I33" i="2"/>
  <c r="J33" i="2" s="1"/>
  <c r="I34" i="2"/>
  <c r="J34" i="2" s="1"/>
  <c r="I35" i="2"/>
  <c r="J35" i="2" s="1"/>
  <c r="I36" i="2"/>
  <c r="J36" i="2" s="1"/>
  <c r="I24" i="2"/>
  <c r="J24" i="2" s="1"/>
  <c r="I23" i="2"/>
  <c r="J23" i="2" s="1"/>
  <c r="I22" i="2"/>
  <c r="J22" i="2" s="1"/>
  <c r="I26" i="2"/>
  <c r="J26" i="2" s="1"/>
  <c r="I25" i="2"/>
  <c r="J25" i="2" s="1"/>
  <c r="I21" i="2"/>
  <c r="J21" i="2" s="1"/>
  <c r="I20" i="2"/>
  <c r="J20" i="2" s="1"/>
  <c r="I37" i="2"/>
  <c r="J37" i="2" s="1"/>
  <c r="I27" i="2"/>
  <c r="J27" i="2" s="1"/>
  <c r="J4" i="2"/>
  <c r="J8" i="2" s="1"/>
  <c r="J38" i="2" l="1"/>
  <c r="J41" i="2" s="1"/>
  <c r="I51" i="2"/>
  <c r="J42" i="2" l="1"/>
</calcChain>
</file>

<file path=xl/sharedStrings.xml><?xml version="1.0" encoding="utf-8"?>
<sst xmlns="http://schemas.openxmlformats.org/spreadsheetml/2006/main" count="77" uniqueCount="64">
  <si>
    <t>INVOICE</t>
  </si>
  <si>
    <t>Date:</t>
  </si>
  <si>
    <t>Invoice #</t>
  </si>
  <si>
    <t>Customer ID:</t>
  </si>
  <si>
    <t>Purchase Order #</t>
  </si>
  <si>
    <t>Payment Due by:</t>
  </si>
  <si>
    <t>Bill To:</t>
  </si>
  <si>
    <t>Iretailcheck</t>
  </si>
  <si>
    <t>Bijkhoevelaan 11</t>
  </si>
  <si>
    <t>2110 WIJNEGEM, Belgium</t>
  </si>
  <si>
    <t>VAT BE 0537.905.085</t>
  </si>
  <si>
    <t>Price</t>
  </si>
  <si>
    <t>Line Total</t>
  </si>
  <si>
    <t>Subtotal</t>
  </si>
  <si>
    <t>Discount</t>
  </si>
  <si>
    <t>Tax/VAT Rate</t>
  </si>
  <si>
    <t xml:space="preserve">Tax/VAT </t>
  </si>
  <si>
    <t>Total</t>
  </si>
  <si>
    <t>Bank details:</t>
  </si>
  <si>
    <t>Signature</t>
  </si>
  <si>
    <t>Account No:100700/13</t>
  </si>
  <si>
    <t>Yoram Sagher</t>
  </si>
  <si>
    <t>Bank name: Bank Leumi Le-Israel Ltd.</t>
  </si>
  <si>
    <t>Branch: 709</t>
  </si>
  <si>
    <t>SWIFT Code: LUMIILITTLV</t>
  </si>
  <si>
    <t>Thank you for your business!</t>
  </si>
  <si>
    <t>100 Jabotinsky st, P.O 3331 Petah Tikva 4959257 Israel</t>
  </si>
  <si>
    <t xml:space="preserve">P +972-3-6448968  F +972-3-9210190, info@video-inform.com  </t>
  </si>
  <si>
    <t>License Period</t>
  </si>
  <si>
    <t>Company Registration No.: 514046077</t>
  </si>
  <si>
    <t>Account name: Video Inform LTD</t>
  </si>
  <si>
    <t xml:space="preserve"> [Your Company Slogan Here]</t>
  </si>
  <si>
    <t>Units</t>
  </si>
  <si>
    <t>IBAN Number: IBAN IL530107090000010070013</t>
  </si>
  <si>
    <t>If you have any questions concerning this Invoice contact us</t>
  </si>
  <si>
    <t>,     www.video-inform.com</t>
  </si>
  <si>
    <t xml:space="preserve"> Year</t>
  </si>
  <si>
    <t>Project Name</t>
  </si>
  <si>
    <t xml:space="preserve"> Video Inform Ltd</t>
  </si>
  <si>
    <t>Supermarket</t>
  </si>
  <si>
    <t>Y2</t>
  </si>
  <si>
    <t>Y5</t>
  </si>
  <si>
    <t>Y3</t>
  </si>
  <si>
    <t>Y6</t>
  </si>
  <si>
    <t>Iretailcheck - Maintenance - Dec 2025</t>
  </si>
  <si>
    <t>AD Roeselare</t>
  </si>
  <si>
    <t>AH Oostende</t>
  </si>
  <si>
    <t>AD Borgerhout</t>
  </si>
  <si>
    <t>CM Oostende</t>
  </si>
  <si>
    <t xml:space="preserve"> AD Brugge Sint Pieters</t>
  </si>
  <si>
    <t xml:space="preserve"> AD Tienen</t>
  </si>
  <si>
    <t>AD Knokke</t>
  </si>
  <si>
    <t>Proxy Delhaize Staden</t>
  </si>
  <si>
    <t>Proxy Delhaize Langemark</t>
  </si>
  <si>
    <t>CM Alma Herentals</t>
  </si>
  <si>
    <t>Proxy Delhaize Beerzel</t>
  </si>
  <si>
    <t>AD Munsterbilzen</t>
  </si>
  <si>
    <t>AD Barchon</t>
  </si>
  <si>
    <t>AD Hoeilaart</t>
  </si>
  <si>
    <t>AH Merksem</t>
  </si>
  <si>
    <t>Proxy Delhaize Leest</t>
  </si>
  <si>
    <t>AD Schelle</t>
  </si>
  <si>
    <t>Alvo Kontich</t>
  </si>
  <si>
    <t>Y7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</si>
</sst>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[$-409]dd\-mmm\-yy;@"/>
    <numFmt numFmtId="165" formatCode="_ * #,##0.00_)\ [$€-1]_ ;_ * \(#,##0.00\)\ [$€-1]_ ;_ * &quot;-&quot;??_)\ [$€-1]_ ;_ @_ "/>
  </numFmts>
  <fonts count="19" x14ac:knownFonts="1">
    <font>
      <sz val="11"/>
      <color theme="1"/>
      <name val="Aptos Narrow"/>
      <family val="2"/>
      <scheme val="minor"/>
    </font>
    <font>
      <b/>
      <sz val="16"/>
      <name val="Arial"/>
      <family val="2"/>
    </font>
    <font>
      <b/>
      <sz val="24"/>
      <color indexed="18"/>
      <name val="Arial"/>
      <family val="2"/>
    </font>
    <font>
      <sz val="10"/>
      <name val="Arial"/>
      <family val="2"/>
    </font>
    <font>
      <sz val="7.5"/>
      <color indexed="55"/>
      <name val="Arial"/>
      <family val="2"/>
    </font>
    <font>
      <b/>
      <sz val="10"/>
      <name val="Arial"/>
      <family val="2"/>
    </font>
    <font>
      <b/>
      <sz val="10"/>
      <color indexed="9"/>
      <name val="Arial"/>
      <family val="2"/>
    </font>
    <font>
      <sz val="8"/>
      <color indexed="55"/>
      <name val="Arial"/>
      <family val="2"/>
    </font>
    <font>
      <sz val="10"/>
      <color theme="1"/>
      <name val="Arial"/>
      <family val="2"/>
    </font>
    <font>
      <sz val="10"/>
      <color theme="1"/>
      <name val="Aptos Narrow"/>
      <family val="2"/>
      <scheme val="minor"/>
    </font>
    <font>
      <sz val="8"/>
      <name val="Arial"/>
      <family val="2"/>
    </font>
    <font>
      <sz val="8"/>
      <color indexed="18"/>
      <name val="Arial"/>
      <family val="2"/>
    </font>
    <font>
      <b/>
      <i/>
      <sz val="10"/>
      <name val="Arial"/>
      <family val="2"/>
    </font>
    <font>
      <b/>
      <sz val="8"/>
      <color indexed="18"/>
      <name val="Arial"/>
      <family val="2"/>
    </font>
    <font>
      <sz val="11"/>
      <color rgb="FF201F1E"/>
      <name val="Calibri"/>
      <family val="2"/>
    </font>
    <font>
      <sz val="9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b/>
      <sz val="10"/>
      <color indexed="1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</fills>
  <borders count="43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/>
      <diagonal/>
    </border>
    <border>
      <left/>
      <right/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/>
      <bottom style="thin">
        <color indexed="9"/>
      </bottom>
      <diagonal/>
    </border>
    <border>
      <left/>
      <right/>
      <top/>
      <bottom style="thin">
        <color indexed="9"/>
      </bottom>
      <diagonal/>
    </border>
    <border>
      <left/>
      <right style="thin">
        <color indexed="9"/>
      </right>
      <top/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/>
      <bottom/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 style="thin">
        <color indexed="9"/>
      </top>
      <bottom style="hair">
        <color indexed="18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9"/>
      </left>
      <right/>
      <top/>
      <bottom/>
      <diagonal/>
    </border>
    <border>
      <left style="thin">
        <color theme="0" tint="-0.24994659260841701"/>
      </left>
      <right style="thin">
        <color indexed="9"/>
      </right>
      <top/>
      <bottom/>
      <diagonal/>
    </border>
    <border>
      <left style="thin">
        <color indexed="9"/>
      </left>
      <right style="thin">
        <color theme="0" tint="-0.24994659260841701"/>
      </right>
      <top/>
      <bottom/>
      <diagonal/>
    </border>
    <border>
      <left style="thin">
        <color indexed="55"/>
      </left>
      <right/>
      <top style="thin">
        <color indexed="55"/>
      </top>
      <bottom style="thin">
        <color indexed="55"/>
      </bottom>
      <diagonal/>
    </border>
    <border>
      <left/>
      <right/>
      <top style="thin">
        <color indexed="55"/>
      </top>
      <bottom style="thin">
        <color indexed="55"/>
      </bottom>
      <diagonal/>
    </border>
    <border>
      <left/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55"/>
      </left>
      <right/>
      <top/>
      <bottom/>
      <diagonal/>
    </border>
    <border>
      <left/>
      <right style="thin">
        <color indexed="55"/>
      </right>
      <top/>
      <bottom/>
      <diagonal/>
    </border>
    <border>
      <left style="thin">
        <color indexed="55"/>
      </left>
      <right/>
      <top style="thin">
        <color indexed="55"/>
      </top>
      <bottom style="thin">
        <color indexed="9"/>
      </bottom>
      <diagonal/>
    </border>
    <border>
      <left/>
      <right/>
      <top style="thin">
        <color indexed="55"/>
      </top>
      <bottom style="thin">
        <color indexed="9"/>
      </bottom>
      <diagonal/>
    </border>
    <border>
      <left/>
      <right style="thin">
        <color indexed="55"/>
      </right>
      <top style="thin">
        <color indexed="55"/>
      </top>
      <bottom style="thin">
        <color indexed="9"/>
      </bottom>
      <diagonal/>
    </border>
    <border>
      <left style="thin">
        <color indexed="55"/>
      </left>
      <right/>
      <top style="thin">
        <color indexed="9"/>
      </top>
      <bottom style="thin">
        <color indexed="9"/>
      </bottom>
      <diagonal/>
    </border>
    <border>
      <left/>
      <right style="thin">
        <color indexed="55"/>
      </right>
      <top style="thin">
        <color indexed="9"/>
      </top>
      <bottom style="thin">
        <color indexed="9"/>
      </bottom>
      <diagonal/>
    </border>
    <border>
      <left style="thin">
        <color indexed="55"/>
      </left>
      <right/>
      <top/>
      <bottom style="thin">
        <color indexed="55"/>
      </bottom>
      <diagonal/>
    </border>
    <border>
      <left/>
      <right/>
      <top/>
      <bottom style="thin">
        <color indexed="55"/>
      </bottom>
      <diagonal/>
    </border>
    <border>
      <left/>
      <right style="thin">
        <color indexed="55"/>
      </right>
      <top/>
      <bottom style="thin">
        <color indexed="55"/>
      </bottom>
      <diagonal/>
    </border>
    <border>
      <left style="thin">
        <color indexed="55"/>
      </left>
      <right/>
      <top style="thin">
        <color indexed="9"/>
      </top>
      <bottom style="thin">
        <color indexed="55"/>
      </bottom>
      <diagonal/>
    </border>
    <border>
      <left/>
      <right/>
      <top style="thin">
        <color indexed="9"/>
      </top>
      <bottom style="thin">
        <color indexed="55"/>
      </bottom>
      <diagonal/>
    </border>
    <border>
      <left/>
      <right style="thin">
        <color indexed="55"/>
      </right>
      <top style="thin">
        <color indexed="9"/>
      </top>
      <bottom style="thin">
        <color indexed="55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55"/>
      </bottom>
      <diagonal/>
    </border>
    <border>
      <left style="thin">
        <color indexed="9"/>
      </left>
      <right style="thin">
        <color indexed="9"/>
      </right>
      <top/>
      <bottom style="thin">
        <color indexed="55"/>
      </bottom>
      <diagonal/>
    </border>
    <border>
      <left style="thin">
        <color indexed="55"/>
      </left>
      <right style="thin">
        <color indexed="55"/>
      </right>
      <top style="thin">
        <color indexed="9"/>
      </top>
      <bottom style="thin">
        <color indexed="9"/>
      </bottom>
      <diagonal/>
    </border>
    <border>
      <left style="thin">
        <color indexed="55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55"/>
      </bottom>
      <diagonal/>
    </border>
    <border>
      <left style="thin">
        <color indexed="9"/>
      </left>
      <right/>
      <top style="thin">
        <color indexed="55"/>
      </top>
      <bottom style="thin">
        <color indexed="55"/>
      </bottom>
      <diagonal/>
    </border>
    <border>
      <left style="thin">
        <color indexed="9"/>
      </left>
      <right/>
      <top style="thin">
        <color indexed="9"/>
      </top>
      <bottom style="hair">
        <color indexed="18"/>
      </bottom>
      <diagonal/>
    </border>
    <border>
      <left/>
      <right style="thin">
        <color indexed="9"/>
      </right>
      <top style="thin">
        <color indexed="9"/>
      </top>
      <bottom style="hair">
        <color indexed="18"/>
      </bottom>
      <diagonal/>
    </border>
  </borders>
  <cellStyleXfs count="1">
    <xf numFmtId="0" fontId="0" fillId="0" borderId="0"/>
  </cellStyleXfs>
  <cellXfs count="124">
    <xf numFmtId="0" fontId="0" fillId="0" borderId="0" xfId="0"/>
    <xf numFmtId="0" fontId="0" fillId="3" borderId="2" xfId="0" applyFill="1" applyBorder="1"/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2" fillId="3" borderId="1" xfId="0" applyFont="1" applyFill="1" applyBorder="1"/>
    <xf numFmtId="0" fontId="0" fillId="3" borderId="9" xfId="0" applyFill="1" applyBorder="1"/>
    <xf numFmtId="0" fontId="0" fillId="3" borderId="10" xfId="0" applyFill="1" applyBorder="1"/>
    <xf numFmtId="0" fontId="0" fillId="3" borderId="11" xfId="0" applyFill="1" applyBorder="1"/>
    <xf numFmtId="0" fontId="0" fillId="3" borderId="13" xfId="0" applyFill="1" applyBorder="1"/>
    <xf numFmtId="0" fontId="3" fillId="3" borderId="13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right"/>
    </xf>
    <xf numFmtId="0" fontId="10" fillId="3" borderId="1" xfId="0" applyFont="1" applyFill="1" applyBorder="1" applyAlignment="1">
      <alignment horizontal="left"/>
    </xf>
    <xf numFmtId="0" fontId="3" fillId="3" borderId="1" xfId="0" applyFont="1" applyFill="1" applyBorder="1"/>
    <xf numFmtId="0" fontId="10" fillId="3" borderId="2" xfId="0" applyFont="1" applyFill="1" applyBorder="1" applyAlignment="1">
      <alignment horizontal="left"/>
    </xf>
    <xf numFmtId="0" fontId="11" fillId="3" borderId="1" xfId="0" applyFont="1" applyFill="1" applyBorder="1"/>
    <xf numFmtId="0" fontId="12" fillId="3" borderId="1" xfId="0" applyFont="1" applyFill="1" applyBorder="1"/>
    <xf numFmtId="0" fontId="5" fillId="3" borderId="1" xfId="0" applyFont="1" applyFill="1" applyBorder="1"/>
    <xf numFmtId="0" fontId="13" fillId="3" borderId="10" xfId="0" applyFont="1" applyFill="1" applyBorder="1"/>
    <xf numFmtId="0" fontId="14" fillId="0" borderId="0" xfId="0" applyFont="1"/>
    <xf numFmtId="0" fontId="11" fillId="3" borderId="11" xfId="0" applyFont="1" applyFill="1" applyBorder="1"/>
    <xf numFmtId="0" fontId="11" fillId="3" borderId="16" xfId="0" applyFont="1" applyFill="1" applyBorder="1"/>
    <xf numFmtId="0" fontId="0" fillId="3" borderId="12" xfId="0" applyFill="1" applyBorder="1"/>
    <xf numFmtId="0" fontId="0" fillId="3" borderId="0" xfId="0" applyFill="1"/>
    <xf numFmtId="0" fontId="0" fillId="3" borderId="28" xfId="0" applyFill="1" applyBorder="1"/>
    <xf numFmtId="0" fontId="0" fillId="3" borderId="35" xfId="0" applyFill="1" applyBorder="1"/>
    <xf numFmtId="0" fontId="0" fillId="3" borderId="36" xfId="0" applyFill="1" applyBorder="1"/>
    <xf numFmtId="2" fontId="11" fillId="3" borderId="11" xfId="0" applyNumberFormat="1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left" vertical="center" wrapText="1"/>
    </xf>
    <xf numFmtId="0" fontId="6" fillId="0" borderId="38" xfId="0" applyFont="1" applyBorder="1"/>
    <xf numFmtId="44" fontId="15" fillId="3" borderId="15" xfId="0" applyNumberFormat="1" applyFont="1" applyFill="1" applyBorder="1" applyAlignment="1">
      <alignment horizontal="center" vertical="center"/>
    </xf>
    <xf numFmtId="0" fontId="10" fillId="0" borderId="38" xfId="0" applyFont="1" applyBorder="1"/>
    <xf numFmtId="0" fontId="5" fillId="3" borderId="2" xfId="0" applyFont="1" applyFill="1" applyBorder="1" applyAlignment="1">
      <alignment horizontal="left"/>
    </xf>
    <xf numFmtId="165" fontId="6" fillId="2" borderId="15" xfId="0" applyNumberFormat="1" applyFont="1" applyFill="1" applyBorder="1" applyAlignment="1">
      <alignment vertical="center"/>
    </xf>
    <xf numFmtId="0" fontId="11" fillId="3" borderId="13" xfId="0" applyFont="1" applyFill="1" applyBorder="1"/>
    <xf numFmtId="0" fontId="11" fillId="3" borderId="13" xfId="0" applyFont="1" applyFill="1" applyBorder="1" applyAlignment="1">
      <alignment horizontal="left"/>
    </xf>
    <xf numFmtId="0" fontId="11" fillId="3" borderId="13" xfId="0" applyFont="1" applyFill="1" applyBorder="1" applyProtection="1">
      <protection hidden="1"/>
    </xf>
    <xf numFmtId="0" fontId="10" fillId="3" borderId="13" xfId="0" applyFont="1" applyFill="1" applyBorder="1"/>
    <xf numFmtId="0" fontId="10" fillId="3" borderId="13" xfId="0" applyFont="1" applyFill="1" applyBorder="1" applyAlignment="1">
      <alignment horizontal="left"/>
    </xf>
    <xf numFmtId="0" fontId="3" fillId="3" borderId="13" xfId="0" applyFont="1" applyFill="1" applyBorder="1"/>
    <xf numFmtId="0" fontId="10" fillId="3" borderId="13" xfId="0" applyFont="1" applyFill="1" applyBorder="1" applyProtection="1">
      <protection hidden="1"/>
    </xf>
    <xf numFmtId="0" fontId="7" fillId="3" borderId="39" xfId="0" applyFont="1" applyFill="1" applyBorder="1"/>
    <xf numFmtId="0" fontId="7" fillId="3" borderId="33" xfId="0" applyFont="1" applyFill="1" applyBorder="1"/>
    <xf numFmtId="0" fontId="8" fillId="3" borderId="40" xfId="0" applyFont="1" applyFill="1" applyBorder="1"/>
    <xf numFmtId="0" fontId="7" fillId="3" borderId="20" xfId="0" applyFont="1" applyFill="1" applyBorder="1"/>
    <xf numFmtId="14" fontId="8" fillId="3" borderId="40" xfId="0" applyNumberFormat="1" applyFont="1" applyFill="1" applyBorder="1" applyAlignment="1">
      <alignment horizontal="left"/>
    </xf>
    <xf numFmtId="14" fontId="8" fillId="3" borderId="16" xfId="0" applyNumberFormat="1" applyFont="1" applyFill="1" applyBorder="1" applyAlignment="1">
      <alignment horizontal="left"/>
    </xf>
    <xf numFmtId="0" fontId="7" fillId="3" borderId="0" xfId="0" applyFont="1" applyFill="1"/>
    <xf numFmtId="0" fontId="6" fillId="0" borderId="12" xfId="0" applyFont="1" applyBorder="1"/>
    <xf numFmtId="0" fontId="10" fillId="0" borderId="12" xfId="0" applyFont="1" applyBorder="1"/>
    <xf numFmtId="0" fontId="10" fillId="0" borderId="9" xfId="0" applyFont="1" applyBorder="1"/>
    <xf numFmtId="0" fontId="0" fillId="3" borderId="3" xfId="0" applyFill="1" applyBorder="1"/>
    <xf numFmtId="0" fontId="0" fillId="3" borderId="16" xfId="0" applyFill="1" applyBorder="1"/>
    <xf numFmtId="1" fontId="3" fillId="5" borderId="37" xfId="0" applyNumberFormat="1" applyFont="1" applyFill="1" applyBorder="1" applyAlignment="1">
      <alignment horizontal="center" vertical="center"/>
    </xf>
    <xf numFmtId="165" fontId="3" fillId="5" borderId="37" xfId="0" applyNumberFormat="1" applyFont="1" applyFill="1" applyBorder="1" applyAlignment="1">
      <alignment horizontal="center" vertical="center"/>
    </xf>
    <xf numFmtId="165" fontId="3" fillId="3" borderId="11" xfId="0" applyNumberFormat="1" applyFont="1" applyFill="1" applyBorder="1" applyAlignment="1">
      <alignment horizontal="center" vertical="center"/>
    </xf>
    <xf numFmtId="10" fontId="3" fillId="0" borderId="15" xfId="0" applyNumberFormat="1" applyFont="1" applyBorder="1" applyAlignment="1">
      <alignment vertical="center"/>
    </xf>
    <xf numFmtId="164" fontId="3" fillId="3" borderId="15" xfId="0" applyNumberFormat="1" applyFont="1" applyFill="1" applyBorder="1" applyAlignment="1">
      <alignment horizontal="left"/>
    </xf>
    <xf numFmtId="0" fontId="3" fillId="3" borderId="15" xfId="0" applyFont="1" applyFill="1" applyBorder="1" applyAlignment="1">
      <alignment horizontal="left"/>
    </xf>
    <xf numFmtId="0" fontId="18" fillId="3" borderId="10" xfId="0" applyFont="1" applyFill="1" applyBorder="1"/>
    <xf numFmtId="0" fontId="3" fillId="3" borderId="13" xfId="0" applyFont="1" applyFill="1" applyBorder="1" applyAlignment="1">
      <alignment horizontal="left" vertical="center"/>
    </xf>
    <xf numFmtId="0" fontId="3" fillId="3" borderId="12" xfId="0" applyFont="1" applyFill="1" applyBorder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165" fontId="3" fillId="3" borderId="11" xfId="0" applyNumberFormat="1" applyFont="1" applyFill="1" applyBorder="1" applyAlignment="1">
      <alignment vertical="center"/>
    </xf>
    <xf numFmtId="0" fontId="6" fillId="2" borderId="20" xfId="0" applyFont="1" applyFill="1" applyBorder="1" applyAlignment="1">
      <alignment horizontal="left"/>
    </xf>
    <xf numFmtId="0" fontId="6" fillId="2" borderId="15" xfId="0" applyFont="1" applyFill="1" applyBorder="1" applyAlignment="1">
      <alignment horizontal="center" vertical="center"/>
    </xf>
    <xf numFmtId="0" fontId="6" fillId="2" borderId="19" xfId="0" applyFont="1" applyFill="1" applyBorder="1" applyAlignment="1">
      <alignment horizontal="left"/>
    </xf>
    <xf numFmtId="165" fontId="3" fillId="5" borderId="27" xfId="0" applyNumberFormat="1" applyFont="1" applyFill="1" applyBorder="1" applyAlignment="1">
      <alignment horizontal="center" vertical="center"/>
    </xf>
    <xf numFmtId="0" fontId="3" fillId="4" borderId="24" xfId="0" applyFont="1" applyFill="1" applyBorder="1"/>
    <xf numFmtId="0" fontId="3" fillId="4" borderId="25" xfId="0" applyFont="1" applyFill="1" applyBorder="1"/>
    <xf numFmtId="0" fontId="3" fillId="3" borderId="2" xfId="0" applyFont="1" applyFill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16" fillId="3" borderId="1" xfId="0" applyFont="1" applyFill="1" applyBorder="1" applyAlignment="1">
      <alignment horizontal="center"/>
    </xf>
    <xf numFmtId="0" fontId="17" fillId="3" borderId="41" xfId="0" applyFont="1" applyFill="1" applyBorder="1" applyAlignment="1">
      <alignment horizontal="center"/>
    </xf>
    <xf numFmtId="0" fontId="17" fillId="3" borderId="14" xfId="0" applyFont="1" applyFill="1" applyBorder="1" applyAlignment="1">
      <alignment horizontal="center"/>
    </xf>
    <xf numFmtId="0" fontId="17" fillId="3" borderId="42" xfId="0" applyFont="1" applyFill="1" applyBorder="1" applyAlignment="1">
      <alignment horizontal="center"/>
    </xf>
    <xf numFmtId="0" fontId="3" fillId="3" borderId="13" xfId="0" applyFont="1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0" fillId="3" borderId="32" xfId="0" applyFont="1" applyFill="1" applyBorder="1"/>
    <xf numFmtId="0" fontId="10" fillId="3" borderId="33" xfId="0" applyFont="1" applyFill="1" applyBorder="1"/>
    <xf numFmtId="0" fontId="10" fillId="3" borderId="34" xfId="0" applyFont="1" applyFill="1" applyBorder="1"/>
    <xf numFmtId="0" fontId="3" fillId="4" borderId="24" xfId="0" applyFont="1" applyFill="1" applyBorder="1"/>
    <xf numFmtId="0" fontId="3" fillId="4" borderId="25" xfId="0" applyFont="1" applyFill="1" applyBorder="1"/>
    <xf numFmtId="0" fontId="9" fillId="0" borderId="25" xfId="0" applyFont="1" applyBorder="1"/>
    <xf numFmtId="0" fontId="9" fillId="0" borderId="26" xfId="0" applyFont="1" applyBorder="1"/>
    <xf numFmtId="0" fontId="6" fillId="2" borderId="19" xfId="0" applyFont="1" applyFill="1" applyBorder="1"/>
    <xf numFmtId="0" fontId="6" fillId="2" borderId="20" xfId="0" applyFont="1" applyFill="1" applyBorder="1"/>
    <xf numFmtId="0" fontId="6" fillId="2" borderId="21" xfId="0" applyFont="1" applyFill="1" applyBorder="1"/>
    <xf numFmtId="17" fontId="3" fillId="4" borderId="27" xfId="0" applyNumberFormat="1" applyFont="1" applyFill="1" applyBorder="1" applyAlignment="1">
      <alignment horizontal="left"/>
    </xf>
    <xf numFmtId="0" fontId="3" fillId="4" borderId="12" xfId="0" applyFont="1" applyFill="1" applyBorder="1" applyAlignment="1">
      <alignment horizontal="left"/>
    </xf>
    <xf numFmtId="0" fontId="3" fillId="4" borderId="28" xfId="0" applyFont="1" applyFill="1" applyBorder="1" applyAlignment="1">
      <alignment horizontal="left"/>
    </xf>
    <xf numFmtId="0" fontId="10" fillId="3" borderId="27" xfId="0" applyFont="1" applyFill="1" applyBorder="1"/>
    <xf numFmtId="0" fontId="10" fillId="3" borderId="12" xfId="0" applyFont="1" applyFill="1" applyBorder="1"/>
    <xf numFmtId="0" fontId="10" fillId="3" borderId="28" xfId="0" applyFont="1" applyFill="1" applyBorder="1"/>
    <xf numFmtId="0" fontId="3" fillId="3" borderId="22" xfId="0" applyFont="1" applyFill="1" applyBorder="1"/>
    <xf numFmtId="0" fontId="3" fillId="3" borderId="0" xfId="0" applyFont="1" applyFill="1"/>
    <xf numFmtId="0" fontId="3" fillId="3" borderId="23" xfId="0" applyFont="1" applyFill="1" applyBorder="1"/>
    <xf numFmtId="0" fontId="3" fillId="3" borderId="27" xfId="0" applyFont="1" applyFill="1" applyBorder="1"/>
    <xf numFmtId="0" fontId="0" fillId="3" borderId="12" xfId="0" applyFill="1" applyBorder="1"/>
    <xf numFmtId="0" fontId="0" fillId="3" borderId="28" xfId="0" applyFill="1" applyBorder="1"/>
    <xf numFmtId="0" fontId="3" fillId="3" borderId="29" xfId="0" applyFont="1" applyFill="1" applyBorder="1"/>
    <xf numFmtId="0" fontId="3" fillId="3" borderId="30" xfId="0" applyFont="1" applyFill="1" applyBorder="1"/>
    <xf numFmtId="0" fontId="3" fillId="3" borderId="31" xfId="0" applyFont="1" applyFill="1" applyBorder="1"/>
    <xf numFmtId="0" fontId="3" fillId="3" borderId="32" xfId="0" applyFont="1" applyFill="1" applyBorder="1"/>
    <xf numFmtId="0" fontId="0" fillId="3" borderId="33" xfId="0" applyFill="1" applyBorder="1"/>
    <xf numFmtId="0" fontId="0" fillId="3" borderId="34" xfId="0" applyFill="1" applyBorder="1"/>
    <xf numFmtId="0" fontId="0" fillId="4" borderId="25" xfId="0" applyFill="1" applyBorder="1"/>
    <xf numFmtId="0" fontId="0" fillId="4" borderId="26" xfId="0" applyFill="1" applyBorder="1"/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/>
    </xf>
    <xf numFmtId="0" fontId="4" fillId="3" borderId="1" xfId="0" applyFont="1" applyFill="1" applyBorder="1" applyAlignment="1">
      <alignment horizontal="left" vertical="top"/>
    </xf>
    <xf numFmtId="0" fontId="6" fillId="2" borderId="17" xfId="0" applyFont="1" applyFill="1" applyBorder="1" applyAlignment="1">
      <alignment horizontal="left"/>
    </xf>
    <xf numFmtId="0" fontId="6" fillId="2" borderId="11" xfId="0" applyFont="1" applyFill="1" applyBorder="1" applyAlignment="1">
      <alignment horizontal="left"/>
    </xf>
    <xf numFmtId="0" fontId="6" fillId="2" borderId="18" xfId="0" applyFont="1" applyFill="1" applyBorder="1" applyAlignment="1">
      <alignment horizontal="left"/>
    </xf>
  </cellXfs>
  <cellStyles count="1">
    <cellStyle name="Normal" xfId="0" builtinId="0"/>
  </cellStyles>
  <dxfs count="12">
    <dxf>
      <font>
        <condense val="0"/>
        <extend val="0"/>
        <color indexed="58"/>
      </font>
    </dxf>
    <dxf>
      <font>
        <condense val="0"/>
        <extend val="0"/>
        <color indexed="16"/>
      </font>
    </dxf>
    <dxf>
      <font>
        <condense val="0"/>
        <extend val="0"/>
        <color auto="1"/>
      </font>
    </dxf>
    <dxf>
      <fill>
        <patternFill>
          <bgColor indexed="58"/>
        </patternFill>
      </fill>
    </dxf>
    <dxf>
      <fill>
        <patternFill>
          <bgColor indexed="16"/>
        </patternFill>
      </fill>
    </dxf>
    <dxf>
      <font>
        <condense val="0"/>
        <extend val="0"/>
        <color auto="1"/>
      </font>
      <fill>
        <patternFill patternType="solid">
          <bgColor indexed="55"/>
        </patternFill>
      </fill>
    </dxf>
    <dxf>
      <border>
        <bottom style="hair">
          <color indexed="58"/>
        </bottom>
      </border>
    </dxf>
    <dxf>
      <border>
        <bottom style="hair">
          <color indexed="16"/>
        </bottom>
      </border>
    </dxf>
    <dxf>
      <border>
        <bottom style="hair">
          <color indexed="23"/>
        </bottom>
      </border>
    </dxf>
    <dxf>
      <fill>
        <patternFill>
          <bgColor indexed="58"/>
        </patternFill>
      </fill>
    </dxf>
    <dxf>
      <fill>
        <patternFill>
          <bgColor indexed="16"/>
        </patternFill>
      </fill>
    </dxf>
    <dxf>
      <font>
        <condense val="0"/>
        <extend val="0"/>
        <color auto="1"/>
      </font>
      <fill>
        <patternFill patternType="solid">
          <bgColor indexed="5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3</xdr:row>
      <xdr:rowOff>28575</xdr:rowOff>
    </xdr:from>
    <xdr:to>
      <xdr:col>4</xdr:col>
      <xdr:colOff>152400</xdr:colOff>
      <xdr:row>7</xdr:row>
      <xdr:rowOff>0</xdr:rowOff>
    </xdr:to>
    <xdr:pic>
      <xdr:nvPicPr>
        <xdr:cNvPr id="3" name="תמונה 1">
          <a:extLst>
            <a:ext uri="{FF2B5EF4-FFF2-40B4-BE49-F238E27FC236}">
              <a16:creationId xmlns:a16="http://schemas.microsoft.com/office/drawing/2014/main" id="{59F0C136-0F8F-4C0C-8B3E-E9D0E134C9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095375"/>
          <a:ext cx="275272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285750</xdr:colOff>
      <xdr:row>4</xdr:row>
      <xdr:rowOff>9525</xdr:rowOff>
    </xdr:from>
    <xdr:to>
      <xdr:col>6</xdr:col>
      <xdr:colOff>276225</xdr:colOff>
      <xdr:row>7</xdr:row>
      <xdr:rowOff>47625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911BF74E-623B-4E73-B440-EC54E3933F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43350" y="962025"/>
          <a:ext cx="60007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video-inform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5352A-A06F-4C8B-BAC2-E4C460AC3B7C}">
  <sheetPr>
    <pageSetUpPr fitToPage="1"/>
  </sheetPr>
  <dimension ref="A2:J61"/>
  <sheetViews>
    <sheetView tabSelected="1" topLeftCell="A9" workbookViewId="0">
      <selection activeCell="N31" sqref="N31"/>
    </sheetView>
  </sheetViews>
  <sheetFormatPr defaultRowHeight="15" x14ac:dyDescent="0.25"/>
  <cols>
    <col min="1" max="1" width="12.28515625" customWidth="1"/>
    <col min="8" max="8" width="8.7109375" customWidth="1"/>
    <col min="9" max="9" width="13.42578125" bestFit="1" customWidth="1"/>
    <col min="10" max="10" width="20.28515625" bestFit="1" customWidth="1"/>
  </cols>
  <sheetData>
    <row r="2" spans="1:10" x14ac:dyDescent="0.25">
      <c r="A2" s="3"/>
      <c r="B2" s="3"/>
      <c r="C2" s="3"/>
      <c r="D2" s="3"/>
      <c r="E2" s="3"/>
      <c r="F2" s="3"/>
      <c r="G2" s="3"/>
      <c r="H2" s="3"/>
      <c r="I2" s="3"/>
      <c r="J2" s="3"/>
    </row>
    <row r="3" spans="1:10" ht="30" x14ac:dyDescent="0.4">
      <c r="A3" s="113" t="s">
        <v>38</v>
      </c>
      <c r="B3" s="114"/>
      <c r="C3" s="114"/>
      <c r="D3" s="114"/>
      <c r="E3" s="115"/>
      <c r="F3" s="4"/>
      <c r="G3" s="4"/>
      <c r="H3" s="4"/>
      <c r="I3" s="4"/>
      <c r="J3" s="13" t="s">
        <v>0</v>
      </c>
    </row>
    <row r="4" spans="1:10" x14ac:dyDescent="0.25">
      <c r="A4" s="116"/>
      <c r="B4" s="117"/>
      <c r="C4" s="117"/>
      <c r="D4" s="117"/>
      <c r="E4" s="118"/>
      <c r="F4" s="2"/>
      <c r="G4" s="2"/>
      <c r="H4" s="2"/>
      <c r="I4" s="14" t="s">
        <v>1</v>
      </c>
      <c r="J4" s="59">
        <f ca="1">TODAY()</f>
        <v>46033</v>
      </c>
    </row>
    <row r="5" spans="1:10" x14ac:dyDescent="0.25">
      <c r="A5" s="119" t="s">
        <v>31</v>
      </c>
      <c r="B5" s="119"/>
      <c r="C5" s="119"/>
      <c r="D5" s="15"/>
      <c r="E5" s="2"/>
      <c r="F5" s="2"/>
      <c r="G5" s="2"/>
      <c r="H5" s="1"/>
      <c r="I5" s="16" t="s">
        <v>2</v>
      </c>
      <c r="J5" s="60">
        <v>8669</v>
      </c>
    </row>
    <row r="6" spans="1:10" x14ac:dyDescent="0.25">
      <c r="A6" s="120"/>
      <c r="B6" s="120"/>
      <c r="C6" s="120"/>
      <c r="D6" s="2"/>
      <c r="E6" s="2"/>
      <c r="F6" s="2"/>
      <c r="G6" s="2"/>
      <c r="H6" s="1"/>
      <c r="I6" s="16" t="s">
        <v>3</v>
      </c>
      <c r="J6" s="60"/>
    </row>
    <row r="7" spans="1:10" x14ac:dyDescent="0.25">
      <c r="A7" s="17"/>
      <c r="B7" s="17"/>
      <c r="C7" s="17"/>
      <c r="D7" s="2"/>
      <c r="E7" s="2"/>
      <c r="F7" s="2"/>
      <c r="G7" s="2"/>
      <c r="H7" s="1"/>
      <c r="I7" s="16" t="s">
        <v>4</v>
      </c>
      <c r="J7" s="60"/>
    </row>
    <row r="8" spans="1:10" x14ac:dyDescent="0.25">
      <c r="A8" s="18"/>
      <c r="B8" s="17"/>
      <c r="C8" s="17"/>
      <c r="D8" s="2"/>
      <c r="E8" s="2"/>
      <c r="F8" s="2"/>
      <c r="G8" s="2"/>
      <c r="H8" s="1"/>
      <c r="I8" s="16" t="s">
        <v>5</v>
      </c>
      <c r="J8" s="59">
        <f ca="1">J4+30</f>
        <v>46063</v>
      </c>
    </row>
    <row r="9" spans="1:10" x14ac:dyDescent="0.25">
      <c r="A9" s="19" t="s">
        <v>29</v>
      </c>
      <c r="B9" s="20"/>
      <c r="C9" s="61"/>
      <c r="D9" s="2"/>
      <c r="E9" s="6"/>
      <c r="F9" s="6"/>
      <c r="G9" s="6"/>
      <c r="H9" s="6"/>
      <c r="I9" s="6"/>
      <c r="J9" s="6"/>
    </row>
    <row r="10" spans="1:10" x14ac:dyDescent="0.25">
      <c r="A10" s="21"/>
      <c r="B10" s="22"/>
      <c r="C10" s="23"/>
      <c r="D10" s="24"/>
      <c r="E10" s="25"/>
      <c r="F10" s="25"/>
      <c r="G10" s="25"/>
      <c r="H10" s="25"/>
      <c r="I10" s="25"/>
      <c r="J10" s="25"/>
    </row>
    <row r="11" spans="1:10" x14ac:dyDescent="0.25">
      <c r="A11" s="121" t="s">
        <v>6</v>
      </c>
      <c r="B11" s="122"/>
      <c r="C11" s="123"/>
      <c r="D11" s="24"/>
      <c r="E11" s="90" t="s">
        <v>37</v>
      </c>
      <c r="F11" s="91"/>
      <c r="G11" s="91"/>
      <c r="H11" s="91"/>
      <c r="I11" s="91"/>
      <c r="J11" s="92"/>
    </row>
    <row r="12" spans="1:10" x14ac:dyDescent="0.25">
      <c r="A12" s="99" t="s">
        <v>7</v>
      </c>
      <c r="B12" s="100"/>
      <c r="C12" s="101"/>
      <c r="D12" s="1"/>
      <c r="E12" s="86" t="s">
        <v>44</v>
      </c>
      <c r="F12" s="87"/>
      <c r="G12" s="87"/>
      <c r="H12" s="111"/>
      <c r="I12" s="111"/>
      <c r="J12" s="112"/>
    </row>
    <row r="13" spans="1:10" x14ac:dyDescent="0.25">
      <c r="A13" s="99" t="s">
        <v>8</v>
      </c>
      <c r="B13" s="100"/>
      <c r="C13" s="101"/>
      <c r="D13" s="1"/>
      <c r="E13" s="102"/>
      <c r="F13" s="103"/>
      <c r="G13" s="103"/>
      <c r="H13" s="103"/>
      <c r="I13" s="103"/>
      <c r="J13" s="104"/>
    </row>
    <row r="14" spans="1:10" x14ac:dyDescent="0.25">
      <c r="A14" s="99" t="s">
        <v>9</v>
      </c>
      <c r="B14" s="100"/>
      <c r="C14" s="101"/>
      <c r="D14" s="1"/>
      <c r="E14" s="102"/>
      <c r="F14" s="103"/>
      <c r="G14" s="103"/>
      <c r="H14" s="103"/>
      <c r="I14" s="103"/>
      <c r="J14" s="104"/>
    </row>
    <row r="15" spans="1:10" x14ac:dyDescent="0.25">
      <c r="A15" s="99" t="s">
        <v>10</v>
      </c>
      <c r="B15" s="100"/>
      <c r="C15" s="101"/>
      <c r="D15" s="1"/>
      <c r="E15" s="102"/>
      <c r="F15" s="103"/>
      <c r="G15" s="103"/>
      <c r="H15" s="103"/>
      <c r="I15" s="103"/>
      <c r="J15" s="104"/>
    </row>
    <row r="16" spans="1:10" x14ac:dyDescent="0.25">
      <c r="A16" s="99"/>
      <c r="B16" s="100"/>
      <c r="C16" s="101"/>
      <c r="D16" s="1"/>
      <c r="E16" s="102"/>
      <c r="F16" s="103"/>
      <c r="G16" s="103"/>
      <c r="H16" s="103"/>
      <c r="I16" s="103"/>
      <c r="J16" s="104"/>
    </row>
    <row r="17" spans="1:10" x14ac:dyDescent="0.25">
      <c r="A17" s="105"/>
      <c r="B17" s="106"/>
      <c r="C17" s="107"/>
      <c r="D17" s="26"/>
      <c r="E17" s="108"/>
      <c r="F17" s="109"/>
      <c r="G17" s="109"/>
      <c r="H17" s="109"/>
      <c r="I17" s="109"/>
      <c r="J17" s="110"/>
    </row>
    <row r="18" spans="1:10" x14ac:dyDescent="0.25">
      <c r="A18" s="27"/>
      <c r="B18" s="27"/>
      <c r="C18" s="27"/>
      <c r="D18" s="28"/>
      <c r="E18" s="7"/>
      <c r="F18" s="7"/>
      <c r="G18" s="7"/>
      <c r="H18" s="7"/>
      <c r="I18" s="7"/>
      <c r="J18" s="7"/>
    </row>
    <row r="19" spans="1:10" x14ac:dyDescent="0.25">
      <c r="A19" s="68" t="s">
        <v>39</v>
      </c>
      <c r="B19" s="66"/>
      <c r="C19" s="66"/>
      <c r="D19" s="66"/>
      <c r="E19" s="66"/>
      <c r="F19" s="66"/>
      <c r="G19" s="67" t="s">
        <v>32</v>
      </c>
      <c r="H19" s="67" t="s">
        <v>36</v>
      </c>
      <c r="I19" s="67" t="s">
        <v>11</v>
      </c>
      <c r="J19" s="67" t="s">
        <v>12</v>
      </c>
    </row>
    <row r="20" spans="1:10" x14ac:dyDescent="0.25">
      <c r="A20" s="70" t="s">
        <v>45</v>
      </c>
      <c r="B20" s="71"/>
      <c r="C20" s="71"/>
      <c r="D20" s="71"/>
      <c r="E20" s="71"/>
      <c r="F20" s="71"/>
      <c r="G20" s="55">
        <v>4</v>
      </c>
      <c r="H20" s="55" t="s">
        <v>40</v>
      </c>
      <c r="I20" s="56">
        <f t="shared" ref="I20" si="0">IF(H20="Y1", 778, 228)</f>
        <v>228</v>
      </c>
      <c r="J20" s="69">
        <f t="shared" ref="J20" si="1">I20*G20</f>
        <v>912</v>
      </c>
    </row>
    <row r="21" spans="1:10" x14ac:dyDescent="0.25">
      <c r="A21" s="70" t="s">
        <v>46</v>
      </c>
      <c r="B21" s="71"/>
      <c r="C21" s="71"/>
      <c r="D21" s="71"/>
      <c r="E21" s="71"/>
      <c r="F21" s="71"/>
      <c r="G21" s="55">
        <v>4</v>
      </c>
      <c r="H21" s="55" t="s">
        <v>40</v>
      </c>
      <c r="I21" s="56">
        <f t="shared" ref="I21:I37" si="2">IF(H21="Y1", 778, 228)</f>
        <v>228</v>
      </c>
      <c r="J21" s="69">
        <f t="shared" ref="J21:J37" si="3">I21*G21</f>
        <v>912</v>
      </c>
    </row>
    <row r="22" spans="1:10" x14ac:dyDescent="0.25">
      <c r="A22" s="70" t="s">
        <v>47</v>
      </c>
      <c r="B22" s="71"/>
      <c r="C22" s="71"/>
      <c r="D22" s="71"/>
      <c r="E22" s="71"/>
      <c r="F22" s="71"/>
      <c r="G22" s="55">
        <v>8</v>
      </c>
      <c r="H22" s="55" t="s">
        <v>40</v>
      </c>
      <c r="I22" s="56">
        <f t="shared" si="2"/>
        <v>228</v>
      </c>
      <c r="J22" s="69">
        <f t="shared" si="3"/>
        <v>1824</v>
      </c>
    </row>
    <row r="23" spans="1:10" x14ac:dyDescent="0.25">
      <c r="A23" s="70" t="s">
        <v>48</v>
      </c>
      <c r="B23" s="71"/>
      <c r="C23" s="71"/>
      <c r="D23" s="71"/>
      <c r="E23" s="71"/>
      <c r="F23" s="71"/>
      <c r="G23" s="55">
        <v>14</v>
      </c>
      <c r="H23" s="55" t="s">
        <v>40</v>
      </c>
      <c r="I23" s="56">
        <f t="shared" si="2"/>
        <v>228</v>
      </c>
      <c r="J23" s="69">
        <f t="shared" si="3"/>
        <v>3192</v>
      </c>
    </row>
    <row r="24" spans="1:10" x14ac:dyDescent="0.25">
      <c r="A24" s="70" t="s">
        <v>49</v>
      </c>
      <c r="B24" s="71"/>
      <c r="C24" s="71"/>
      <c r="D24" s="71"/>
      <c r="E24" s="71"/>
      <c r="F24" s="71"/>
      <c r="G24" s="55">
        <v>6</v>
      </c>
      <c r="H24" s="55" t="s">
        <v>40</v>
      </c>
      <c r="I24" s="56">
        <f t="shared" si="2"/>
        <v>228</v>
      </c>
      <c r="J24" s="69">
        <f t="shared" si="3"/>
        <v>1368</v>
      </c>
    </row>
    <row r="25" spans="1:10" x14ac:dyDescent="0.25">
      <c r="A25" s="70" t="s">
        <v>50</v>
      </c>
      <c r="B25" s="71"/>
      <c r="C25" s="71"/>
      <c r="D25" s="71"/>
      <c r="E25" s="71"/>
      <c r="F25" s="71"/>
      <c r="G25" s="55">
        <v>20</v>
      </c>
      <c r="H25" s="55" t="s">
        <v>40</v>
      </c>
      <c r="I25" s="56">
        <f t="shared" si="2"/>
        <v>228</v>
      </c>
      <c r="J25" s="69">
        <f t="shared" si="3"/>
        <v>4560</v>
      </c>
    </row>
    <row r="26" spans="1:10" x14ac:dyDescent="0.25">
      <c r="A26" s="70" t="s">
        <v>51</v>
      </c>
      <c r="B26" s="71"/>
      <c r="C26" s="71"/>
      <c r="D26" s="71"/>
      <c r="E26" s="71"/>
      <c r="F26" s="71"/>
      <c r="G26" s="55">
        <v>8</v>
      </c>
      <c r="H26" s="55" t="s">
        <v>40</v>
      </c>
      <c r="I26" s="56">
        <f t="shared" si="2"/>
        <v>228</v>
      </c>
      <c r="J26" s="69">
        <f t="shared" si="3"/>
        <v>1824</v>
      </c>
    </row>
    <row r="27" spans="1:10" x14ac:dyDescent="0.25">
      <c r="A27" s="70" t="s">
        <v>52</v>
      </c>
      <c r="B27" s="71"/>
      <c r="C27" s="71"/>
      <c r="D27" s="71"/>
      <c r="E27" s="71"/>
      <c r="F27" s="71"/>
      <c r="G27" s="55">
        <v>8</v>
      </c>
      <c r="H27" s="55" t="s">
        <v>42</v>
      </c>
      <c r="I27" s="56">
        <f t="shared" si="2"/>
        <v>228</v>
      </c>
      <c r="J27" s="69">
        <f t="shared" si="3"/>
        <v>1824</v>
      </c>
    </row>
    <row r="28" spans="1:10" x14ac:dyDescent="0.25">
      <c r="A28" s="70" t="s">
        <v>57</v>
      </c>
      <c r="B28" s="71"/>
      <c r="C28" s="71"/>
      <c r="D28" s="71"/>
      <c r="E28" s="71"/>
      <c r="F28" s="71"/>
      <c r="G28" s="55">
        <v>15</v>
      </c>
      <c r="H28" s="55" t="s">
        <v>41</v>
      </c>
      <c r="I28" s="56">
        <f t="shared" si="2"/>
        <v>228</v>
      </c>
      <c r="J28" s="69">
        <f t="shared" si="3"/>
        <v>3420</v>
      </c>
    </row>
    <row r="29" spans="1:10" x14ac:dyDescent="0.25">
      <c r="A29" s="70" t="s">
        <v>62</v>
      </c>
      <c r="B29" s="71"/>
      <c r="C29" s="71"/>
      <c r="D29" s="71"/>
      <c r="E29" s="71"/>
      <c r="F29" s="71"/>
      <c r="G29" s="55">
        <v>4</v>
      </c>
      <c r="H29" s="55" t="s">
        <v>63</v>
      </c>
      <c r="I29" s="56">
        <f t="shared" ref="I29" si="4">IF(H29="Y1", 778, 228)</f>
        <v>228</v>
      </c>
      <c r="J29" s="69">
        <f t="shared" ref="J29" si="5">I29*G29</f>
        <v>912</v>
      </c>
    </row>
    <row r="30" spans="1:10" x14ac:dyDescent="0.25">
      <c r="A30" s="70" t="s">
        <v>60</v>
      </c>
      <c r="B30" s="71"/>
      <c r="C30" s="71"/>
      <c r="D30" s="71"/>
      <c r="E30" s="71"/>
      <c r="F30" s="71"/>
      <c r="G30" s="55">
        <v>10</v>
      </c>
      <c r="H30" s="55" t="s">
        <v>41</v>
      </c>
      <c r="I30" s="56">
        <f t="shared" si="2"/>
        <v>228</v>
      </c>
      <c r="J30" s="69">
        <f t="shared" si="3"/>
        <v>2280</v>
      </c>
    </row>
    <row r="31" spans="1:10" x14ac:dyDescent="0.25">
      <c r="A31" s="70" t="s">
        <v>61</v>
      </c>
      <c r="B31" s="71"/>
      <c r="C31" s="71"/>
      <c r="D31" s="71"/>
      <c r="E31" s="71"/>
      <c r="F31" s="71"/>
      <c r="G31" s="55">
        <v>11</v>
      </c>
      <c r="H31" s="55" t="s">
        <v>43</v>
      </c>
      <c r="I31" s="56">
        <f t="shared" si="2"/>
        <v>228</v>
      </c>
      <c r="J31" s="69">
        <f t="shared" si="3"/>
        <v>2508</v>
      </c>
    </row>
    <row r="32" spans="1:10" x14ac:dyDescent="0.25">
      <c r="A32" s="70" t="s">
        <v>59</v>
      </c>
      <c r="B32" s="71"/>
      <c r="C32" s="71"/>
      <c r="D32" s="71"/>
      <c r="E32" s="71"/>
      <c r="F32" s="71"/>
      <c r="G32" s="55">
        <v>3</v>
      </c>
      <c r="H32" s="55" t="s">
        <v>43</v>
      </c>
      <c r="I32" s="56">
        <f t="shared" ref="I32" si="6">IF(H32="Y1", 778, 228)</f>
        <v>228</v>
      </c>
      <c r="J32" s="69">
        <f t="shared" ref="J32" si="7">I32*G32</f>
        <v>684</v>
      </c>
    </row>
    <row r="33" spans="1:10" x14ac:dyDescent="0.25">
      <c r="A33" s="70" t="s">
        <v>58</v>
      </c>
      <c r="B33" s="71"/>
      <c r="C33" s="71"/>
      <c r="D33" s="71"/>
      <c r="E33" s="71"/>
      <c r="F33" s="71"/>
      <c r="G33" s="55">
        <v>18</v>
      </c>
      <c r="H33" s="55" t="s">
        <v>41</v>
      </c>
      <c r="I33" s="56">
        <f t="shared" ref="I33" si="8">IF(H33="Y1", 778, 228)</f>
        <v>228</v>
      </c>
      <c r="J33" s="69">
        <f t="shared" ref="J33" si="9">I33*G33</f>
        <v>4104</v>
      </c>
    </row>
    <row r="34" spans="1:10" x14ac:dyDescent="0.25">
      <c r="A34" s="70" t="s">
        <v>56</v>
      </c>
      <c r="B34" s="71"/>
      <c r="C34" s="71"/>
      <c r="D34" s="71"/>
      <c r="E34" s="71"/>
      <c r="F34" s="71"/>
      <c r="G34" s="55">
        <v>10</v>
      </c>
      <c r="H34" s="55" t="s">
        <v>42</v>
      </c>
      <c r="I34" s="56">
        <f t="shared" ref="I34" si="10">IF(H34="Y1", 778, 228)</f>
        <v>228</v>
      </c>
      <c r="J34" s="69">
        <f t="shared" ref="J34" si="11">I34*G34</f>
        <v>2280</v>
      </c>
    </row>
    <row r="35" spans="1:10" x14ac:dyDescent="0.25">
      <c r="A35" s="70" t="s">
        <v>55</v>
      </c>
      <c r="B35" s="71"/>
      <c r="C35" s="71"/>
      <c r="D35" s="71"/>
      <c r="E35" s="71"/>
      <c r="F35" s="71"/>
      <c r="G35" s="55">
        <v>8</v>
      </c>
      <c r="H35" s="55" t="s">
        <v>42</v>
      </c>
      <c r="I35" s="56">
        <f t="shared" ref="I35" si="12">IF(H35="Y1", 778, 228)</f>
        <v>228</v>
      </c>
      <c r="J35" s="69">
        <f t="shared" ref="J35" si="13">I35*G35</f>
        <v>1824</v>
      </c>
    </row>
    <row r="36" spans="1:10" x14ac:dyDescent="0.25">
      <c r="A36" s="70" t="s">
        <v>54</v>
      </c>
      <c r="B36" s="71"/>
      <c r="C36" s="71"/>
      <c r="D36" s="71"/>
      <c r="E36" s="71"/>
      <c r="F36" s="71"/>
      <c r="G36" s="55">
        <v>5</v>
      </c>
      <c r="H36" s="55" t="s">
        <v>42</v>
      </c>
      <c r="I36" s="56">
        <f t="shared" ref="I36" si="14">IF(H36="Y1", 778, 228)</f>
        <v>228</v>
      </c>
      <c r="J36" s="69">
        <f t="shared" si="3"/>
        <v>1140</v>
      </c>
    </row>
    <row r="37" spans="1:10" x14ac:dyDescent="0.25">
      <c r="A37" s="86" t="s">
        <v>53</v>
      </c>
      <c r="B37" s="87"/>
      <c r="C37" s="87"/>
      <c r="D37" s="88"/>
      <c r="E37" s="88"/>
      <c r="F37" s="89"/>
      <c r="G37" s="55">
        <v>6</v>
      </c>
      <c r="H37" s="55" t="s">
        <v>41</v>
      </c>
      <c r="I37" s="56">
        <f t="shared" si="2"/>
        <v>228</v>
      </c>
      <c r="J37" s="69">
        <f t="shared" si="3"/>
        <v>1368</v>
      </c>
    </row>
    <row r="38" spans="1:10" x14ac:dyDescent="0.25">
      <c r="A38" s="29"/>
      <c r="B38" s="30"/>
      <c r="C38" s="30"/>
      <c r="D38" s="30"/>
      <c r="E38" s="30"/>
      <c r="F38" s="30"/>
      <c r="G38" s="30"/>
      <c r="H38" s="30"/>
      <c r="I38" s="62" t="s">
        <v>13</v>
      </c>
      <c r="J38" s="57">
        <f>IF(SUM(J27:J37)&gt;0,SUM(J20:J37),0)</f>
        <v>36936</v>
      </c>
    </row>
    <row r="39" spans="1:10" x14ac:dyDescent="0.25">
      <c r="A39" s="90" t="s">
        <v>28</v>
      </c>
      <c r="B39" s="91"/>
      <c r="C39" s="91"/>
      <c r="D39" s="91"/>
      <c r="E39" s="91"/>
      <c r="F39" s="92"/>
      <c r="G39" s="31"/>
      <c r="H39" s="50"/>
      <c r="I39" s="63" t="s">
        <v>14</v>
      </c>
      <c r="J39" s="32"/>
    </row>
    <row r="40" spans="1:10" x14ac:dyDescent="0.25">
      <c r="A40" s="93">
        <v>46357</v>
      </c>
      <c r="B40" s="94"/>
      <c r="C40" s="94"/>
      <c r="D40" s="94"/>
      <c r="E40" s="94"/>
      <c r="F40" s="95"/>
      <c r="G40" s="33"/>
      <c r="H40" s="51"/>
      <c r="I40" s="63" t="s">
        <v>15</v>
      </c>
      <c r="J40" s="58">
        <v>0</v>
      </c>
    </row>
    <row r="41" spans="1:10" x14ac:dyDescent="0.25">
      <c r="A41" s="96"/>
      <c r="B41" s="97"/>
      <c r="C41" s="97"/>
      <c r="D41" s="97"/>
      <c r="E41" s="97"/>
      <c r="F41" s="98"/>
      <c r="G41" s="33"/>
      <c r="H41" s="52"/>
      <c r="I41" s="64" t="s">
        <v>16</v>
      </c>
      <c r="J41" s="65">
        <f>IF(J38&gt;0,SUM((J38-J39)*J40),0)</f>
        <v>0</v>
      </c>
    </row>
    <row r="42" spans="1:10" x14ac:dyDescent="0.25">
      <c r="A42" s="96"/>
      <c r="B42" s="97"/>
      <c r="C42" s="97"/>
      <c r="D42" s="97"/>
      <c r="E42" s="97"/>
      <c r="F42" s="98"/>
      <c r="G42" s="33"/>
      <c r="H42" s="51"/>
      <c r="I42" s="34" t="s">
        <v>17</v>
      </c>
      <c r="J42" s="35">
        <f>IF(SUM(J27:J37)&gt;0,SUM(J38-J39,J41),0)</f>
        <v>36936</v>
      </c>
    </row>
    <row r="43" spans="1:10" x14ac:dyDescent="0.25">
      <c r="A43" s="96"/>
      <c r="B43" s="97"/>
      <c r="C43" s="97"/>
      <c r="D43" s="97"/>
      <c r="E43" s="97"/>
      <c r="F43" s="98"/>
      <c r="G43" s="33"/>
      <c r="H43" s="52"/>
      <c r="I43" s="2"/>
      <c r="J43" s="2"/>
    </row>
    <row r="44" spans="1:10" x14ac:dyDescent="0.25">
      <c r="A44" s="96"/>
      <c r="B44" s="97"/>
      <c r="C44" s="97"/>
      <c r="D44" s="97"/>
      <c r="E44" s="97"/>
      <c r="F44" s="98"/>
      <c r="G44" s="33"/>
      <c r="H44" s="52"/>
      <c r="I44" s="5"/>
      <c r="J44" s="2"/>
    </row>
    <row r="45" spans="1:10" x14ac:dyDescent="0.25">
      <c r="A45" s="96"/>
      <c r="B45" s="97"/>
      <c r="C45" s="97"/>
      <c r="D45" s="97"/>
      <c r="E45" s="97"/>
      <c r="F45" s="98"/>
      <c r="G45" s="33"/>
      <c r="H45" s="52"/>
      <c r="I45" s="5"/>
      <c r="J45" s="2"/>
    </row>
    <row r="46" spans="1:10" x14ac:dyDescent="0.25">
      <c r="A46" s="83"/>
      <c r="B46" s="84"/>
      <c r="C46" s="84"/>
      <c r="D46" s="84"/>
      <c r="E46" s="84"/>
      <c r="F46" s="85"/>
      <c r="G46" s="33"/>
      <c r="H46" s="52"/>
      <c r="I46" s="5"/>
      <c r="J46" s="2"/>
    </row>
    <row r="47" spans="1:10" x14ac:dyDescent="0.25">
      <c r="A47" s="36"/>
      <c r="B47" s="36"/>
      <c r="C47" s="37"/>
      <c r="D47" s="8"/>
      <c r="E47" s="38"/>
      <c r="F47" s="8"/>
      <c r="G47" s="8"/>
      <c r="H47" s="8"/>
      <c r="I47" s="2"/>
      <c r="J47" s="2"/>
    </row>
    <row r="48" spans="1:10" x14ac:dyDescent="0.25">
      <c r="A48" s="39"/>
      <c r="B48" s="39"/>
      <c r="C48" s="40"/>
      <c r="D48" s="41"/>
      <c r="E48" s="42"/>
      <c r="F48" s="41"/>
      <c r="G48" s="41"/>
      <c r="H48" s="41"/>
      <c r="I48" s="15"/>
      <c r="J48" s="15"/>
    </row>
    <row r="49" spans="1:10" x14ac:dyDescent="0.25">
      <c r="A49" s="15" t="s">
        <v>18</v>
      </c>
      <c r="B49" s="15" t="s">
        <v>30</v>
      </c>
      <c r="C49" s="2"/>
      <c r="D49" s="2"/>
      <c r="E49" s="2"/>
      <c r="F49" s="2"/>
      <c r="G49" s="2"/>
      <c r="H49" s="53"/>
      <c r="I49" s="43" t="s">
        <v>19</v>
      </c>
      <c r="J49" s="44"/>
    </row>
    <row r="50" spans="1:10" x14ac:dyDescent="0.25">
      <c r="A50" s="2"/>
      <c r="B50" s="15" t="s">
        <v>20</v>
      </c>
      <c r="C50" s="2"/>
      <c r="D50" s="2"/>
      <c r="E50" s="2"/>
      <c r="F50" s="2"/>
      <c r="G50" s="2"/>
      <c r="H50" s="54"/>
      <c r="I50" s="45" t="s">
        <v>21</v>
      </c>
      <c r="J50" s="46"/>
    </row>
    <row r="51" spans="1:10" x14ac:dyDescent="0.25">
      <c r="A51" s="2"/>
      <c r="B51" s="15" t="s">
        <v>22</v>
      </c>
      <c r="C51" s="2"/>
      <c r="D51" s="2"/>
      <c r="E51" s="2"/>
      <c r="F51" s="2"/>
      <c r="G51" s="2"/>
      <c r="H51" s="54"/>
      <c r="I51" s="47">
        <f ca="1">J4</f>
        <v>46033</v>
      </c>
      <c r="J51" s="46"/>
    </row>
    <row r="52" spans="1:10" x14ac:dyDescent="0.25">
      <c r="A52" s="2"/>
      <c r="B52" s="15" t="s">
        <v>24</v>
      </c>
      <c r="C52" s="2"/>
      <c r="D52" s="2"/>
      <c r="E52" s="2"/>
      <c r="F52" s="8"/>
      <c r="G52" s="8"/>
      <c r="H52" s="54"/>
      <c r="I52" s="48"/>
      <c r="J52" s="49"/>
    </row>
    <row r="53" spans="1:10" x14ac:dyDescent="0.25">
      <c r="A53" s="2"/>
      <c r="B53" s="15" t="s">
        <v>23</v>
      </c>
      <c r="C53" s="2"/>
      <c r="D53" s="2"/>
      <c r="E53" s="2"/>
      <c r="F53" s="9"/>
      <c r="G53" s="9"/>
      <c r="H53" s="9"/>
      <c r="I53" s="9"/>
      <c r="J53" s="10"/>
    </row>
    <row r="54" spans="1:10" x14ac:dyDescent="0.25">
      <c r="A54" s="2"/>
      <c r="B54" s="15" t="s">
        <v>33</v>
      </c>
      <c r="C54" s="2"/>
      <c r="D54" s="2"/>
      <c r="E54" s="2"/>
      <c r="F54" s="11"/>
      <c r="G54" s="11"/>
      <c r="H54" s="11"/>
      <c r="I54" s="11"/>
      <c r="J54" s="12"/>
    </row>
    <row r="55" spans="1:10" x14ac:dyDescent="0.25">
      <c r="A55" s="2"/>
      <c r="B55" s="2"/>
      <c r="C55" s="2"/>
      <c r="D55" s="2"/>
      <c r="E55" s="2"/>
      <c r="F55" s="11"/>
      <c r="G55" s="11"/>
      <c r="H55" s="11"/>
      <c r="I55" s="11"/>
      <c r="J55" s="12"/>
    </row>
    <row r="56" spans="1:10" x14ac:dyDescent="0.25">
      <c r="A56" s="72" t="s">
        <v>34</v>
      </c>
      <c r="B56" s="73"/>
      <c r="C56" s="73"/>
      <c r="D56" s="73"/>
      <c r="E56" s="73"/>
      <c r="F56" s="73"/>
      <c r="G56" s="73"/>
      <c r="H56" s="73"/>
      <c r="I56" s="73"/>
      <c r="J56" s="74"/>
    </row>
    <row r="57" spans="1:10" x14ac:dyDescent="0.25">
      <c r="A57" s="15"/>
      <c r="B57" s="10"/>
      <c r="C57" s="10"/>
      <c r="D57" s="10"/>
      <c r="E57" s="10"/>
      <c r="F57" s="9"/>
      <c r="G57" s="9"/>
      <c r="H57" s="9"/>
      <c r="I57" s="9"/>
      <c r="J57" s="10"/>
    </row>
    <row r="58" spans="1:10" ht="15.75" x14ac:dyDescent="0.25">
      <c r="A58" s="75" t="s">
        <v>25</v>
      </c>
      <c r="B58" s="75"/>
      <c r="C58" s="75"/>
      <c r="D58" s="75"/>
      <c r="E58" s="75"/>
      <c r="F58" s="75"/>
      <c r="G58" s="75"/>
      <c r="H58" s="75"/>
      <c r="I58" s="75"/>
      <c r="J58" s="75"/>
    </row>
    <row r="59" spans="1:10" x14ac:dyDescent="0.25">
      <c r="A59" s="76" t="s">
        <v>35</v>
      </c>
      <c r="B59" s="77"/>
      <c r="C59" s="77"/>
      <c r="D59" s="77"/>
      <c r="E59" s="77"/>
      <c r="F59" s="77"/>
      <c r="G59" s="77"/>
      <c r="H59" s="77"/>
      <c r="I59" s="77"/>
      <c r="J59" s="78"/>
    </row>
    <row r="60" spans="1:10" x14ac:dyDescent="0.25">
      <c r="A60" s="79" t="s">
        <v>26</v>
      </c>
      <c r="B60" s="80"/>
      <c r="C60" s="80"/>
      <c r="D60" s="80"/>
      <c r="E60" s="80"/>
      <c r="F60" s="80"/>
      <c r="G60" s="80"/>
      <c r="H60" s="80"/>
      <c r="I60" s="80"/>
      <c r="J60" s="80"/>
    </row>
    <row r="61" spans="1:10" x14ac:dyDescent="0.25">
      <c r="A61" s="81" t="s">
        <v>27</v>
      </c>
      <c r="B61" s="82"/>
      <c r="C61" s="82"/>
      <c r="D61" s="82"/>
      <c r="E61" s="82"/>
      <c r="F61" s="82"/>
      <c r="G61" s="82"/>
      <c r="H61" s="82"/>
      <c r="I61" s="82"/>
      <c r="J61" s="82"/>
    </row>
  </sheetData>
  <mergeCells count="31">
    <mergeCell ref="A3:E4"/>
    <mergeCell ref="A5:C5"/>
    <mergeCell ref="A6:C6"/>
    <mergeCell ref="A11:C11"/>
    <mergeCell ref="E11:J11"/>
    <mergeCell ref="A12:C12"/>
    <mergeCell ref="E12:J12"/>
    <mergeCell ref="A13:C13"/>
    <mergeCell ref="E13:J13"/>
    <mergeCell ref="A14:C14"/>
    <mergeCell ref="E14:J14"/>
    <mergeCell ref="A15:C15"/>
    <mergeCell ref="E15:J15"/>
    <mergeCell ref="A16:C16"/>
    <mergeCell ref="E16:J16"/>
    <mergeCell ref="A17:C17"/>
    <mergeCell ref="E17:J17"/>
    <mergeCell ref="A46:F46"/>
    <mergeCell ref="A37:F37"/>
    <mergeCell ref="A39:F39"/>
    <mergeCell ref="A40:F40"/>
    <mergeCell ref="A41:F41"/>
    <mergeCell ref="A42:F42"/>
    <mergeCell ref="A43:F43"/>
    <mergeCell ref="A44:F44"/>
    <mergeCell ref="A45:F45"/>
    <mergeCell ref="A56:J56"/>
    <mergeCell ref="A58:J58"/>
    <mergeCell ref="A59:J59"/>
    <mergeCell ref="A60:J60"/>
    <mergeCell ref="A61:J61"/>
  </mergeCells>
  <conditionalFormatting sqref="A11:C11 E11 A19 A39 J40 J42">
    <cfRule type="expression" dxfId="11" priority="10" stopIfTrue="1">
      <formula>IF(#REF!="No Color",TRUE,FALSE)</formula>
    </cfRule>
    <cfRule type="expression" dxfId="10" priority="11" stopIfTrue="1">
      <formula>IF(#REF!="Red",TRUE,FALSE)</formula>
    </cfRule>
    <cfRule type="expression" dxfId="9" priority="12" stopIfTrue="1">
      <formula>IF(#REF!="Green",TRUE,FALSE)</formula>
    </cfRule>
  </conditionalFormatting>
  <conditionalFormatting sqref="A59:J59">
    <cfRule type="expression" dxfId="8" priority="13" stopIfTrue="1">
      <formula>IF(#REF!="No Color",TRUE,FALSE)</formula>
    </cfRule>
    <cfRule type="expression" dxfId="7" priority="14" stopIfTrue="1">
      <formula>IF(#REF!="Red",TRUE,FALSE)</formula>
    </cfRule>
    <cfRule type="expression" dxfId="6" priority="15" stopIfTrue="1">
      <formula>IF(#REF!="Green",TRUE,FALSE)</formula>
    </cfRule>
  </conditionalFormatting>
  <conditionalFormatting sqref="G19:J19">
    <cfRule type="expression" dxfId="5" priority="1" stopIfTrue="1">
      <formula>IF(#REF!="No Color",TRUE,FALSE)</formula>
    </cfRule>
    <cfRule type="expression" dxfId="4" priority="2" stopIfTrue="1">
      <formula>IF(#REF!="Red",TRUE,FALSE)</formula>
    </cfRule>
    <cfRule type="expression" dxfId="3" priority="3" stopIfTrue="1">
      <formula>IF(#REF!="Green",TRUE,FALSE)</formula>
    </cfRule>
  </conditionalFormatting>
  <conditionalFormatting sqref="J3">
    <cfRule type="expression" dxfId="2" priority="7" stopIfTrue="1">
      <formula>IF(#REF!="No Color",TRUE,FALSE)</formula>
    </cfRule>
    <cfRule type="expression" dxfId="1" priority="8" stopIfTrue="1">
      <formula>IF(#REF!="Red",TRUE,FALSE)</formula>
    </cfRule>
    <cfRule type="expression" dxfId="0" priority="9" stopIfTrue="1">
      <formula>IF(#REF!="Green",TRUE,FALSE)</formula>
    </cfRule>
  </conditionalFormatting>
  <hyperlinks>
    <hyperlink ref="A51" r:id="rId1" display="www.video-inform.com" xr:uid="{283BAC9C-B6B5-49CA-811B-00B9965EEC7D}"/>
  </hyperlinks>
  <pageMargins left="0.7" right="0.7" top="0.75" bottom="0.75" header="0.3" footer="0.3"/>
  <pageSetup paperSize="9"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Zvika Shtorch</dc:creator>
  <cp:lastModifiedBy>Zvika Shtorch</cp:lastModifiedBy>
  <cp:lastPrinted>2025-11-19T09:59:27Z</cp:lastPrinted>
  <dcterms:created xsi:type="dcterms:W3CDTF">2024-08-21T08:06:06Z</dcterms:created>
  <dcterms:modified xsi:type="dcterms:W3CDTF">2026-01-11T08:04:48Z</dcterms:modified>
</cp:coreProperties>
</file>