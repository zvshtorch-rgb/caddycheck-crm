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vikas\Desktop\"/>
    </mc:Choice>
  </mc:AlternateContent>
  <xr:revisionPtr revIDLastSave="0" documentId="8_{C4CF07AA-2BFC-439F-A468-843C8806D01E}" xr6:coauthVersionLast="47" xr6:coauthVersionMax="47" xr10:uidLastSave="{00000000-0000-0000-0000-000000000000}"/>
  <bookViews>
    <workbookView xWindow="-120" yWindow="-120" windowWidth="29040" windowHeight="15840" firstSheet="2" activeTab="2" xr2:uid="{B40341FA-5CB0-45C3-BC5B-AC61AC7B5DB5}"/>
  </bookViews>
  <sheets>
    <sheet name="Projects overview" sheetId="1" r:id="rId1"/>
    <sheet name="Trials" sheetId="4" r:id="rId2"/>
    <sheet name="Invoice details" sheetId="2" r:id="rId3"/>
    <sheet name="Innovation" sheetId="10" r:id="rId4"/>
    <sheet name="Tickets" sheetId="3" r:id="rId5"/>
    <sheet name="Project Payment Summary" sheetId="9" r:id="rId6"/>
    <sheet name="Yearly Payment Summary" sheetId="8" r:id="rId7"/>
  </sheets>
  <definedNames>
    <definedName name="_xlnm._FilterDatabase" localSheetId="2" hidden="1">'Invoice details'!$A$1:$I$611</definedName>
    <definedName name="_xlnm._FilterDatabase" localSheetId="0" hidden="1">'Projects overview'!$A$1:$V$133</definedName>
  </definedNames>
  <calcPr calcId="191028"/>
  <pivotCaches>
    <pivotCache cacheId="9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2" i="2" l="1"/>
  <c r="D661" i="2"/>
  <c r="D647" i="2"/>
  <c r="D648" i="2"/>
  <c r="D649" i="2"/>
  <c r="D650" i="2"/>
  <c r="D651" i="2"/>
  <c r="D640" i="2"/>
  <c r="D641" i="2"/>
  <c r="D642" i="2"/>
  <c r="D643" i="2"/>
  <c r="D644" i="2"/>
  <c r="D645" i="2"/>
  <c r="D646" i="2"/>
  <c r="H494" i="2"/>
  <c r="D638" i="2"/>
  <c r="D639" i="2"/>
  <c r="D637" i="2"/>
  <c r="D636" i="2"/>
  <c r="D635" i="2"/>
  <c r="D634" i="2"/>
  <c r="D618" i="2"/>
  <c r="D619" i="2"/>
  <c r="D614" i="2"/>
  <c r="D615" i="2"/>
  <c r="D616" i="2"/>
  <c r="D617" i="2"/>
  <c r="D613" i="2"/>
  <c r="D612" i="2"/>
  <c r="D609" i="2"/>
  <c r="D610" i="2"/>
  <c r="D611" i="2"/>
  <c r="D608" i="2"/>
  <c r="D607" i="2"/>
  <c r="D606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593" i="2"/>
  <c r="D590" i="2"/>
  <c r="D591" i="2"/>
  <c r="D592" i="2"/>
  <c r="D589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75" i="2"/>
  <c r="D568" i="2"/>
  <c r="D569" i="2"/>
  <c r="D570" i="2"/>
  <c r="D571" i="2"/>
  <c r="D572" i="2"/>
  <c r="D573" i="2"/>
  <c r="D574" i="2"/>
  <c r="D567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50" i="2"/>
  <c r="D504" i="2"/>
  <c r="D530" i="2"/>
  <c r="H492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527" i="2"/>
  <c r="D528" i="2"/>
  <c r="D526" i="2"/>
  <c r="D525" i="2"/>
  <c r="D524" i="2"/>
  <c r="D523" i="2"/>
  <c r="D522" i="2"/>
  <c r="D521" i="2"/>
  <c r="D520" i="2"/>
  <c r="D519" i="2"/>
  <c r="D517" i="2"/>
  <c r="D518" i="2"/>
  <c r="D516" i="2"/>
  <c r="D515" i="2"/>
  <c r="D514" i="2"/>
  <c r="D509" i="2"/>
  <c r="D510" i="2"/>
  <c r="D511" i="2"/>
  <c r="D512" i="2"/>
  <c r="D513" i="2"/>
  <c r="D508" i="2"/>
  <c r="D507" i="2"/>
  <c r="D506" i="2"/>
  <c r="D505" i="2"/>
  <c r="D503" i="2"/>
  <c r="A502" i="2"/>
  <c r="A503" i="2" s="1"/>
  <c r="D852" i="2" l="1"/>
  <c r="A504" i="2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tc={1E7F3523-4377-435F-A76A-0FE4870D389E}</author>
    <author>tc={5528ECE7-919B-4157-A1EE-9FF65E439906}</author>
    <author>tc={F5CB2F8D-7FC2-4EED-8747-E5B774C345E6}</author>
    <author>tc={7D001639-8A1E-46FC-BBCF-5AB558C45C20}</author>
    <author>tc={89E39366-E92D-46A9-B031-5760C8A07185}</author>
    <author>tc={2A096C3A-FD81-4532-8F80-59D0290E9603}</author>
    <author>tc={3283DA82-6AED-402F-B859-6C21F9DF9A38}</author>
  </authors>
  <commentList>
    <comment ref="K126" authorId="0" shapeId="0" xr:uid="{1E7F3523-4377-435F-A76A-0FE4870D389E}">
      <text>
        <t>[Threaded comment]
Your version of Excel allows you to read this threaded comment; however, any edits to it will get removed if the file is opened in a newer version of Excel. Learn more: https://go.microsoft.com/fwlink/?linkid=870924
Comment:
    FEB’18 – FEB’19 (installation OKT’17 but up&amp;running since FEB’18)</t>
      </text>
    </comment>
    <comment ref="L126" authorId="1" shapeId="0" xr:uid="{5528ECE7-919B-4157-A1EE-9FF65E439906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19 - Feb 20</t>
      </text>
    </comment>
    <comment ref="M126" authorId="2" shapeId="0" xr:uid="{F5CB2F8D-7FC2-4EED-8747-E5B774C345E6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20 - Feb 21</t>
      </text>
    </comment>
    <comment ref="N126" authorId="3" shapeId="0" xr:uid="{7D001639-8A1E-46FC-BBCF-5AB558C45C20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21 - Feb 22</t>
      </text>
    </comment>
    <comment ref="O126" authorId="4" shapeId="0" xr:uid="{89E39366-E92D-46A9-B031-5760C8A07185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23 - Feb 24</t>
      </text>
    </comment>
    <comment ref="Q126" authorId="5" shapeId="0" xr:uid="{2A096C3A-FD81-4532-8F80-59D0290E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Feb 24 - Feb 25</t>
      </text>
    </comment>
    <comment ref="R126" authorId="6" shapeId="0" xr:uid="{3283DA82-6AED-402F-B859-6C21F9DF9A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Feb 22-Feb 23
</t>
      </text>
    </comment>
  </commentList>
</comments>
</file>

<file path=xl/sharedStrings.xml><?xml version="1.0" encoding="utf-8"?>
<sst xmlns="http://schemas.openxmlformats.org/spreadsheetml/2006/main" count="3424" uniqueCount="448">
  <si>
    <t>Project Name</t>
  </si>
  <si>
    <t>Country</t>
  </si>
  <si>
    <t># Cams</t>
  </si>
  <si>
    <t>payment month</t>
  </si>
  <si>
    <t>Installation Year</t>
  </si>
  <si>
    <t>Project Approval</t>
  </si>
  <si>
    <t>Activation date</t>
  </si>
  <si>
    <t>Detection Type</t>
  </si>
  <si>
    <t>Cart Type</t>
  </si>
  <si>
    <t>VIM Version</t>
  </si>
  <si>
    <t>M-1Y</t>
  </si>
  <si>
    <t>M-2Y</t>
  </si>
  <si>
    <t>M-3Y</t>
  </si>
  <si>
    <t>M-4Y</t>
  </si>
  <si>
    <t>M-5Y</t>
  </si>
  <si>
    <t>M-6Y</t>
  </si>
  <si>
    <t>M-7Y</t>
  </si>
  <si>
    <t>M-8Y</t>
  </si>
  <si>
    <t>M-9Y</t>
  </si>
  <si>
    <t>Status</t>
  </si>
  <si>
    <t xml:space="preserve">Licsense EOP </t>
  </si>
  <si>
    <t xml:space="preserve"> CaddyBack</t>
  </si>
  <si>
    <t>AD Burenvile</t>
  </si>
  <si>
    <t>Bel</t>
  </si>
  <si>
    <t>Feb</t>
  </si>
  <si>
    <t>Back,TopDown</t>
  </si>
  <si>
    <t>Meta70</t>
  </si>
  <si>
    <t>EDEKA DORTMUND</t>
  </si>
  <si>
    <t>Ger</t>
  </si>
  <si>
    <t>Yes</t>
  </si>
  <si>
    <t>AD Anderlecht</t>
  </si>
  <si>
    <t>Intermarché Couille</t>
  </si>
  <si>
    <t>Dec</t>
  </si>
  <si>
    <t>Active</t>
  </si>
  <si>
    <t>AD Delhaize Sint Lenaarts</t>
  </si>
  <si>
    <t>Oct</t>
  </si>
  <si>
    <t>AD Delhaize Fernelmont</t>
  </si>
  <si>
    <t>Nov</t>
  </si>
  <si>
    <t xml:space="preserve"> Proxy Delhaize OOIGEM</t>
  </si>
  <si>
    <t>AD Wakken</t>
  </si>
  <si>
    <t xml:space="preserve"> AD Delhaize Asse</t>
  </si>
  <si>
    <t>July</t>
  </si>
  <si>
    <t>4 Back,4 TopDown.2 pushout</t>
  </si>
  <si>
    <t>INTERMARCE HEUSY</t>
  </si>
  <si>
    <t>Sep</t>
  </si>
  <si>
    <t>AD Belval</t>
  </si>
  <si>
    <t>LUX</t>
  </si>
  <si>
    <t>Jun</t>
  </si>
  <si>
    <t>AD Delhaize Hazegras</t>
  </si>
  <si>
    <t xml:space="preserve"> AD Delhaize Herselt</t>
  </si>
  <si>
    <t>May</t>
  </si>
  <si>
    <t>AD BLOEMMOLEN</t>
  </si>
  <si>
    <t>AD Delhaize Sint Katelijne Waver</t>
  </si>
  <si>
    <t>Plastic red, Metal</t>
  </si>
  <si>
    <t>AD Delhaize Pallieter</t>
  </si>
  <si>
    <t>Plastic red</t>
  </si>
  <si>
    <t>AD Delhaize Itegem</t>
  </si>
  <si>
    <t>AD Delhaize Kluisbergen</t>
  </si>
  <si>
    <t>Apr</t>
  </si>
  <si>
    <t xml:space="preserve"> Proxy Delhaize Veltem</t>
  </si>
  <si>
    <t>AD Delhaize Wezemaal</t>
  </si>
  <si>
    <t>Plastic red, Plastic black</t>
  </si>
  <si>
    <t>Proxy Delhaize Durme (Heads)</t>
  </si>
  <si>
    <t>Back,TopDown.pushout(Heads)</t>
  </si>
  <si>
    <t>Plastic black</t>
  </si>
  <si>
    <t>AD Delhaize Tielt-Winge</t>
  </si>
  <si>
    <t>Mar</t>
  </si>
  <si>
    <t>Updated+ Checked</t>
  </si>
  <si>
    <t>AD Delhaize Dessel</t>
  </si>
  <si>
    <t>AD Delhaize Kessel-Lo</t>
  </si>
  <si>
    <t>AD Searena</t>
  </si>
  <si>
    <t>AD Lovenjoel</t>
  </si>
  <si>
    <t>AD Heverlee</t>
  </si>
  <si>
    <t>AD Bois De Breux</t>
  </si>
  <si>
    <t>Jan</t>
  </si>
  <si>
    <t>Meta66</t>
  </si>
  <si>
    <t>AD Roeselare</t>
  </si>
  <si>
    <t>AH Oostende</t>
  </si>
  <si>
    <t>Pushout,TopDown</t>
  </si>
  <si>
    <t>No CaddyBack sensor</t>
  </si>
  <si>
    <t>AD Borgerhout</t>
  </si>
  <si>
    <t>CM Oostende</t>
  </si>
  <si>
    <t>Updated</t>
  </si>
  <si>
    <t xml:space="preserve"> AD Brugge Sint Pieters</t>
  </si>
  <si>
    <t>AD Ninove</t>
  </si>
  <si>
    <t>TopDown</t>
  </si>
  <si>
    <t>Metal</t>
  </si>
  <si>
    <t>Project was not found</t>
  </si>
  <si>
    <t xml:space="preserve"> AD Tienen</t>
  </si>
  <si>
    <t>AD Wondelgem</t>
  </si>
  <si>
    <t>AD Knokke</t>
  </si>
  <si>
    <t>AD Zwevegem</t>
  </si>
  <si>
    <t>AD Zottegem</t>
  </si>
  <si>
    <t>Aug</t>
  </si>
  <si>
    <t>AH Merksem MAATJES</t>
  </si>
  <si>
    <t>AD Heist</t>
  </si>
  <si>
    <t>AD Sint-Kruis Brugge</t>
  </si>
  <si>
    <t>Jul</t>
  </si>
  <si>
    <t>AD Aalter</t>
  </si>
  <si>
    <t>AD Reet</t>
  </si>
  <si>
    <t>CM Wilrijk Valaar</t>
  </si>
  <si>
    <t>AD Gent Ster</t>
  </si>
  <si>
    <t>CM Waregram</t>
  </si>
  <si>
    <t>Proxy Delhaize Sint-Amandsberg</t>
  </si>
  <si>
    <t>CM Essen</t>
  </si>
  <si>
    <t>8562+8595</t>
  </si>
  <si>
    <t>AD Ledeberg</t>
  </si>
  <si>
    <t>AD Lede</t>
  </si>
  <si>
    <t>Proxy Delhaize Sint-Lievens-Houtem</t>
  </si>
  <si>
    <t>Updated+Checked</t>
  </si>
  <si>
    <t>CM Kapelle-op-den-bosch</t>
  </si>
  <si>
    <t>Proxy Delhaize Westkerke</t>
  </si>
  <si>
    <t>CM Kalmthout</t>
  </si>
  <si>
    <t>AD Grimbergen</t>
  </si>
  <si>
    <t>Back,TopDown,Pushout</t>
  </si>
  <si>
    <t>AD Deurne</t>
  </si>
  <si>
    <t>Proxy Delhaize Veerle</t>
  </si>
  <si>
    <t>Proxy Delhaize Westerlo</t>
  </si>
  <si>
    <t>AD Halle</t>
  </si>
  <si>
    <t>AD Bellegem</t>
  </si>
  <si>
    <t>AD Watersport</t>
  </si>
  <si>
    <t>AD ARENDONK</t>
  </si>
  <si>
    <t>VIM60</t>
  </si>
  <si>
    <t>AD Retie</t>
  </si>
  <si>
    <t>AD Denderleew</t>
  </si>
  <si>
    <t>Proxy Delhaize Denderleew</t>
  </si>
  <si>
    <t>Merim Supermarket</t>
  </si>
  <si>
    <t>CM Meer</t>
  </si>
  <si>
    <t>CM Hoboken Zuid</t>
  </si>
  <si>
    <t>CM Hoboken Kiosk</t>
  </si>
  <si>
    <t>Proxy Stade</t>
  </si>
  <si>
    <t>Proxy Delhaize Langemark</t>
  </si>
  <si>
    <t>AD Wetteren</t>
  </si>
  <si>
    <t>CM Bascule</t>
  </si>
  <si>
    <t>CM Elouges</t>
  </si>
  <si>
    <t>No</t>
  </si>
  <si>
    <t>CM Alma Herentals</t>
  </si>
  <si>
    <t>AH Ninove</t>
  </si>
  <si>
    <t>Proxy Delhaize Beerzel</t>
  </si>
  <si>
    <t>Proxy Delhaize Sint Jan in Eremo</t>
  </si>
  <si>
    <t>AD Nederename</t>
  </si>
  <si>
    <t>AH Dendermonde</t>
  </si>
  <si>
    <t>CM Square Marlow</t>
  </si>
  <si>
    <t>AD Soumagne</t>
  </si>
  <si>
    <t>Proxy Delhaize Fléron</t>
  </si>
  <si>
    <t>AH Waregem</t>
  </si>
  <si>
    <t>AD Munsterbilzen</t>
  </si>
  <si>
    <t>AH Schilde</t>
  </si>
  <si>
    <t>AH Oudenaarde</t>
  </si>
  <si>
    <t>AD Waregem</t>
  </si>
  <si>
    <t>AD Heist-op-den-Berg</t>
  </si>
  <si>
    <t>Back,TopDown(Vertical)</t>
  </si>
  <si>
    <t>Metal,Trolley</t>
  </si>
  <si>
    <t>Cora Hornou</t>
  </si>
  <si>
    <t>Alma Geel</t>
  </si>
  <si>
    <t>AD Aartselar</t>
  </si>
  <si>
    <t>AD Barchon</t>
  </si>
  <si>
    <t>AD Colfontaine</t>
  </si>
  <si>
    <t>AD Galmaarden</t>
  </si>
  <si>
    <t>AD Hoeilaart</t>
  </si>
  <si>
    <t>  8461</t>
  </si>
  <si>
    <t>AH Merksem</t>
  </si>
  <si>
    <t>Plastic red,Trolley</t>
  </si>
  <si>
    <t> 8435</t>
  </si>
  <si>
    <t>AH Rumbeke</t>
  </si>
  <si>
    <t>VIM11</t>
  </si>
  <si>
    <t>CM Alma Bilzen</t>
  </si>
  <si>
    <t>CM Moorslede</t>
  </si>
  <si>
    <t>pppp</t>
  </si>
  <si>
    <t>CM Oedelem</t>
  </si>
  <si>
    <t> 8436</t>
  </si>
  <si>
    <t>CM Sint-Niklaas</t>
  </si>
  <si>
    <t xml:space="preserve">CM Zeebrugge </t>
  </si>
  <si>
    <t>Proxy Grootzand</t>
  </si>
  <si>
    <t> 8437</t>
  </si>
  <si>
    <t>Proxy Delhaize Leest</t>
  </si>
  <si>
    <t> 8438</t>
  </si>
  <si>
    <t>Proxy Delhaize Meeuwen</t>
  </si>
  <si>
    <t>AD Brecht</t>
  </si>
  <si>
    <t> 8462</t>
  </si>
  <si>
    <t xml:space="preserve">AD Deinze </t>
  </si>
  <si>
    <t>AD Merksplas</t>
  </si>
  <si>
    <t>TopDown(Vertical)</t>
  </si>
  <si>
    <t> 8404</t>
  </si>
  <si>
    <t>  8463</t>
  </si>
  <si>
    <t>AD Zwijnaarde</t>
  </si>
  <si>
    <t> 8439</t>
  </si>
  <si>
    <t>AH Roeselare</t>
  </si>
  <si>
    <t>CM St-Gillis-Waas</t>
  </si>
  <si>
    <t> 8440</t>
  </si>
  <si>
    <t>Spar Dadizele</t>
  </si>
  <si>
    <t> 8441</t>
  </si>
  <si>
    <t>offline</t>
  </si>
  <si>
    <t>Proxy Muizen</t>
  </si>
  <si>
    <t> 8442</t>
  </si>
  <si>
    <t>AD Geraardsbergen</t>
  </si>
  <si>
    <t>renewed in 2023</t>
  </si>
  <si>
    <t>AD Schelle</t>
  </si>
  <si>
    <t>Alvo Kontich</t>
  </si>
  <si>
    <t>Back</t>
  </si>
  <si>
    <t>Proxy Delhaize Berchem</t>
  </si>
  <si>
    <t>Hol</t>
  </si>
  <si>
    <t>CM Alma Lommel</t>
  </si>
  <si>
    <t>Metal Red</t>
  </si>
  <si>
    <t>Spar Denderleew (vim3)</t>
  </si>
  <si>
    <t>Open lic</t>
  </si>
  <si>
    <t>Proxy Delhaize Denderhoutem</t>
  </si>
  <si>
    <t>AD GrootBijgaarden</t>
  </si>
  <si>
    <t> 8465</t>
  </si>
  <si>
    <t>AD Harelbeke</t>
  </si>
  <si>
    <t>Offline</t>
  </si>
  <si>
    <t>AD Vichte</t>
  </si>
  <si>
    <t>  8466</t>
  </si>
  <si>
    <t>CM Alma mol</t>
  </si>
  <si>
    <t>8354 (8384)</t>
  </si>
  <si>
    <t>CM Kortenberg</t>
  </si>
  <si>
    <t>Plus langdraaf Aarts</t>
  </si>
  <si>
    <t>Plus Landgraaf Wetzels</t>
  </si>
  <si>
    <t>JUMBO 's Gravendeel van der Hoek</t>
  </si>
  <si>
    <t>PLUS Simpelveld Schouteten</t>
  </si>
  <si>
    <t>JUMBO Eindhoven Boschdijk</t>
  </si>
  <si>
    <t>#</t>
  </si>
  <si>
    <t>VIM-Milestone</t>
  </si>
  <si>
    <t>Remark</t>
  </si>
  <si>
    <t>Edeka Rath</t>
  </si>
  <si>
    <t>Germany</t>
  </si>
  <si>
    <t>14/8/2024</t>
  </si>
  <si>
    <t>TD</t>
  </si>
  <si>
    <t>ZIPF2024</t>
  </si>
  <si>
    <t>Edeka Steen </t>
  </si>
  <si>
    <t>Backtray,TD</t>
  </si>
  <si>
    <t>iRetail2024</t>
  </si>
  <si>
    <t>Rewe Kaarst</t>
  </si>
  <si>
    <t>Pushout,TD</t>
  </si>
  <si>
    <t>Rewe Schorn</t>
  </si>
  <si>
    <t>EDEKA BILLSTEIN WUPPERTAL</t>
  </si>
  <si>
    <t>EDEKA VOGEL &amp; LEWANDOWSKI </t>
  </si>
  <si>
    <t> ZIPF VOGEL VALENCIENNER </t>
  </si>
  <si>
    <t>EDEKA Hövener</t>
  </si>
  <si>
    <t>Invoice Number</t>
  </si>
  <si>
    <t>Project name</t>
  </si>
  <si>
    <t>Maintenance Year</t>
  </si>
  <si>
    <t>Payment amount</t>
  </si>
  <si>
    <t>Cameras number</t>
  </si>
  <si>
    <t>Payment Date</t>
  </si>
  <si>
    <t>Paid</t>
  </si>
  <si>
    <t>Year</t>
  </si>
  <si>
    <t>Carrefour Express Rillaar</t>
  </si>
  <si>
    <t>Y1</t>
  </si>
  <si>
    <t>CM Berlaar</t>
  </si>
  <si>
    <t>Cora Chatelineau</t>
  </si>
  <si>
    <t>Proxy Passendale</t>
  </si>
  <si>
    <t>Eurospar Dadizele</t>
  </si>
  <si>
    <t>Y2</t>
  </si>
  <si>
    <t>AD Ravels</t>
  </si>
  <si>
    <t>CM Moorsel</t>
  </si>
  <si>
    <t>Proxy Hoevenan</t>
  </si>
  <si>
    <t>Plus Elburg</t>
  </si>
  <si>
    <t>Plus Cullenburg</t>
  </si>
  <si>
    <t>Plus Heeten</t>
  </si>
  <si>
    <t>Plus Van Den Horst</t>
  </si>
  <si>
    <t>Coop Paanaker</t>
  </si>
  <si>
    <t>Coop Bert Stuut (back)</t>
  </si>
  <si>
    <t>AD Tessenderlo</t>
  </si>
  <si>
    <t>Jumbo Roden Jansema</t>
  </si>
  <si>
    <t>AH Kaatsheuvel</t>
  </si>
  <si>
    <t>Proxy Delhaize Muizen</t>
  </si>
  <si>
    <t>Y3</t>
  </si>
  <si>
    <t>Emte Brakel</t>
  </si>
  <si>
    <t>Plus Thuitman</t>
  </si>
  <si>
    <t>AH Heeze</t>
  </si>
  <si>
    <t>Plus Klein</t>
  </si>
  <si>
    <t>Plus Meerkerk (Back)</t>
  </si>
  <si>
    <t>Jumbo Brielle</t>
  </si>
  <si>
    <t>Plus Harlingen</t>
  </si>
  <si>
    <t>Plus Maastricht Starren</t>
  </si>
  <si>
    <t>Proxy Delhaize Denderhoutem (Back)</t>
  </si>
  <si>
    <t>Jumbo Diemen</t>
  </si>
  <si>
    <t>AD Aartselar (4 Back)</t>
  </si>
  <si>
    <t>Plus Delft (4 Back)</t>
  </si>
  <si>
    <t>Plus Markelo Blankhorst</t>
  </si>
  <si>
    <t>Jumbo Eindhoven Bosdijk</t>
  </si>
  <si>
    <t>Coop bert stuut (Top)</t>
  </si>
  <si>
    <t>Coop Cockengen</t>
  </si>
  <si>
    <t>Plus Waalwijk</t>
  </si>
  <si>
    <t>Coop Stendeeren</t>
  </si>
  <si>
    <t>Jumbo Lokerenpassage</t>
  </si>
  <si>
    <t>Plus Horst</t>
  </si>
  <si>
    <t>Plus kamerik Romijn</t>
  </si>
  <si>
    <t>Jumbo Lemmer</t>
  </si>
  <si>
    <t>AH Geldermalsen</t>
  </si>
  <si>
    <t>AH Asten</t>
  </si>
  <si>
    <t>Plus De Meeren</t>
  </si>
  <si>
    <t>Y5</t>
  </si>
  <si>
    <t>Y4</t>
  </si>
  <si>
    <t>AH Dokkum</t>
  </si>
  <si>
    <t>Jumbo Rotterdam</t>
  </si>
  <si>
    <t>AH Waalwijk</t>
  </si>
  <si>
    <t>Jumbo Groningen pestman</t>
  </si>
  <si>
    <t>Plus Waarder Hoogendoorn</t>
  </si>
  <si>
    <t>Jumbo Gravendeel</t>
  </si>
  <si>
    <t>Plus Maastricht Savelkoul</t>
  </si>
  <si>
    <t>Plus Maastricht Caberg</t>
  </si>
  <si>
    <t>Plus Simpelveld Schouteten</t>
  </si>
  <si>
    <t>Plus Landgraaf Arts</t>
  </si>
  <si>
    <t>Plus Delft (1 Top)</t>
  </si>
  <si>
    <t>Coop Kockengen</t>
  </si>
  <si>
    <t>Jumbo Uden De Laak (Back)</t>
  </si>
  <si>
    <t>Plus Brunssum Quaedvlieg</t>
  </si>
  <si>
    <t>Plus Meerkerk (Top)</t>
  </si>
  <si>
    <t>Jumbo Olm Krimpen aan den Ijssel</t>
  </si>
  <si>
    <t>AH Hulst</t>
  </si>
  <si>
    <t>EuroSpar Denderleew</t>
  </si>
  <si>
    <t>Jumbo Uden De Laak (from Back to TD)</t>
  </si>
  <si>
    <t>Jumbo Gouda Hagendoorn</t>
  </si>
  <si>
    <t>Plus Maastricht Caberg  (from Back to TD)</t>
  </si>
  <si>
    <t>Jumbo Eindhoven Bosdijk (from side to TD)</t>
  </si>
  <si>
    <t>Plus Gulpen Kleijnen</t>
  </si>
  <si>
    <t>Plus Klazienaveen Fischer</t>
  </si>
  <si>
    <t>Jumbo Heesch Wiegmans</t>
  </si>
  <si>
    <t>Jumbo Zeeland Eijssermans</t>
  </si>
  <si>
    <t>AH Erp</t>
  </si>
  <si>
    <t>AD Aartselar (1 Top)</t>
  </si>
  <si>
    <t>Proxy Delhaize Denderhoutem (Top)</t>
  </si>
  <si>
    <t>AD Grobbendonk</t>
  </si>
  <si>
    <t>AD Vlijtingen</t>
  </si>
  <si>
    <t>Alvo Konitch</t>
  </si>
  <si>
    <t>Jumbo Groningen Pestman</t>
  </si>
  <si>
    <t>Plus Kamerik Romijn</t>
  </si>
  <si>
    <t>Plus Simpleveld Schouteden</t>
  </si>
  <si>
    <t>AD Deinze</t>
  </si>
  <si>
    <t>Plus langraaf Aarts extra checkouts</t>
  </si>
  <si>
    <t>Plus Simpelveld Schouteden</t>
  </si>
  <si>
    <t>Eurospar Dadizele (2nd)</t>
  </si>
  <si>
    <t>CM Zeebrugge</t>
  </si>
  <si>
    <t>Cactus Bonnevoie</t>
  </si>
  <si>
    <t>AD Aartselar (4 Top)</t>
  </si>
  <si>
    <t>Spar Denderleew</t>
  </si>
  <si>
    <t>Jumbo Dedemsvaart</t>
  </si>
  <si>
    <t>Proxy Delhaize Grootzand</t>
  </si>
  <si>
    <t>Spar Dadizele (2nd)</t>
  </si>
  <si>
    <t>Y6</t>
  </si>
  <si>
    <t>PLUS Klazienaveen Fischer</t>
  </si>
  <si>
    <t>CM Alma Geel</t>
  </si>
  <si>
    <t>PLUS Klazienaveen</t>
  </si>
  <si>
    <t>JUMBO Olm Krimpen aan den Ijssel</t>
  </si>
  <si>
    <t>PLUS Landgraaf Arts</t>
  </si>
  <si>
    <t>spar Dadizele</t>
  </si>
  <si>
    <t xml:space="preserve">Alvo Kontich </t>
  </si>
  <si>
    <t>AH Dendemonde</t>
  </si>
  <si>
    <t>AD Soumagune</t>
  </si>
  <si>
    <t>Carrefour Market Kortenberg</t>
  </si>
  <si>
    <t>Y7</t>
  </si>
  <si>
    <t>AD Delhaize Nederename</t>
  </si>
  <si>
    <t>AD Delhaize Aartselaar</t>
  </si>
  <si>
    <t xml:space="preserve">CM Alma Bilzen </t>
  </si>
  <si>
    <t>cancelled</t>
  </si>
  <si>
    <t>cancelld</t>
  </si>
  <si>
    <t>cancell</t>
  </si>
  <si>
    <t>Proxy Delhaize Staden</t>
  </si>
  <si>
    <t>Carrefour Express Orange Meer</t>
  </si>
  <si>
    <t>Proxy Delhaize Denderleeuw</t>
  </si>
  <si>
    <t>AD Delhaize Denderleeuw</t>
  </si>
  <si>
    <t>AD Delhaize Retie</t>
  </si>
  <si>
    <t>AD Delhaize Arendonk</t>
  </si>
  <si>
    <t>AD Delhaize Watersport</t>
  </si>
  <si>
    <t>AD Delhaize Bellegem</t>
  </si>
  <si>
    <t>AD Delhaize Kalmthout</t>
  </si>
  <si>
    <t>AD Delhaize Grimbergen</t>
  </si>
  <si>
    <t>AD Delhaize Halle</t>
  </si>
  <si>
    <t>AD Delhaize Deurne</t>
  </si>
  <si>
    <t>AD SOUMAGANE</t>
  </si>
  <si>
    <t>CM Kapelle-op-den-bos</t>
  </si>
  <si>
    <t>Delhaize Sint-Lievens-Houtem</t>
  </si>
  <si>
    <t>CM Waregem</t>
  </si>
  <si>
    <t>Y8</t>
  </si>
  <si>
    <t>AD Delhaize Geraardsbergen</t>
  </si>
  <si>
    <t>AD Delhaize Zottegem</t>
  </si>
  <si>
    <t>Not paid</t>
  </si>
  <si>
    <t>CM Essen (coplementary)</t>
  </si>
  <si>
    <t>AD Asse</t>
  </si>
  <si>
    <t>AD Brugge Sint Pieters</t>
  </si>
  <si>
    <t>AD Delhaize Borgerhout</t>
  </si>
  <si>
    <t>Y9</t>
  </si>
  <si>
    <t>Proxy Berchem</t>
  </si>
  <si>
    <t>Proxy Delhaize Durme</t>
  </si>
  <si>
    <t xml:space="preserve"> AD Delhaize Bloemmolens</t>
  </si>
  <si>
    <t xml:space="preserve"> Delhaize Belval LUXemburg</t>
  </si>
  <si>
    <t>AD Kalmthout</t>
  </si>
  <si>
    <t>AH Merksem MAATJES_x000D_</t>
  </si>
  <si>
    <t>AD Geraardsbergen_x000D_</t>
  </si>
  <si>
    <t xml:space="preserve">AD Heist </t>
  </si>
  <si>
    <t xml:space="preserve">Proxy Delhaize Grootzand </t>
  </si>
  <si>
    <t xml:space="preserve">AH Schilde </t>
  </si>
  <si>
    <t xml:space="preserve"> Proxy Delhaize Wakken</t>
  </si>
  <si>
    <t>intermarché Heusy</t>
  </si>
  <si>
    <t xml:space="preserve"> Rewe Schorn - Bergheim</t>
  </si>
  <si>
    <t>Paid Trial-0.25Y</t>
  </si>
  <si>
    <t>Edeka Kusnezow-Lewandowski - Langerwehe</t>
  </si>
  <si>
    <t>Paid Trial-0.5Y</t>
  </si>
  <si>
    <t xml:space="preserve"> Edeka Vogel-Lewandowski - Dueren</t>
  </si>
  <si>
    <t>Edeka Vogel - Dueren</t>
  </si>
  <si>
    <t>Edeka Billstein - Wuppertal</t>
  </si>
  <si>
    <t xml:space="preserve"> Edeka Hoevener - Langenfeld</t>
  </si>
  <si>
    <t xml:space="preserve"> Edeka Paschmann - Muelheim</t>
  </si>
  <si>
    <t xml:space="preserve"> Edeka Steren - Sulingen</t>
  </si>
  <si>
    <t xml:space="preserve"> Edeka Rath - Grevenbroich</t>
  </si>
  <si>
    <t xml:space="preserve">CM Meer	
AH Ninove	
AH Dendermonde	
AH Rumbeke	
CM Sint-Niklaas	
CM Zeebrugge 	
</t>
  </si>
  <si>
    <t xml:space="preserve">CM Hoboken Zuid
CM Hoboken Kiosk
AD Heist-op-den-Berg
AD Brecht
AD Merksplas
AD GrootBijgaarden
AD Vichte
PLUS Simpelveld Schouteten
JUMBO Eindhoven Boschdijk
</t>
  </si>
  <si>
    <t xml:space="preserve">Save the first detected image to a folder (instead of the end of track)  </t>
  </si>
  <si>
    <t>Add ability to braodcast update of profiles to all of the projects simulatanouasly</t>
  </si>
  <si>
    <t>Update Backtrayleft/right Full_Caddy filter to decide after 5 frames and Topdown after 7 frames</t>
  </si>
  <si>
    <t xml:space="preserve">Noback filter </t>
  </si>
  <si>
    <t xml:space="preserve">Project name </t>
  </si>
  <si>
    <t>Detector</t>
  </si>
  <si>
    <t>Time Opened</t>
  </si>
  <si>
    <t>Problem details</t>
  </si>
  <si>
    <t>Solution</t>
  </si>
  <si>
    <t>Solved</t>
  </si>
  <si>
    <t>Assigned</t>
  </si>
  <si>
    <t>Time Closed</t>
  </si>
  <si>
    <t>Backtray</t>
  </si>
  <si>
    <t>FP - Empty carts , High CPU</t>
  </si>
  <si>
    <t>Lower the cams, check ROI</t>
  </si>
  <si>
    <t>asaf</t>
  </si>
  <si>
    <t>Backtray -Camera Location, Shadows,Top - Vertical detection is bad</t>
  </si>
  <si>
    <t>Lower the cams, check ROI,Upgrade Vertical detetctor</t>
  </si>
  <si>
    <t>zvika</t>
  </si>
  <si>
    <t>FP - Empty carts+legs</t>
  </si>
  <si>
    <t>Upgrade the generic detectors</t>
  </si>
  <si>
    <t>TD Detection is lower</t>
  </si>
  <si>
    <t>Change the cam location to be in the middle of checkout path</t>
  </si>
  <si>
    <t>gino</t>
  </si>
  <si>
    <t>Topdown</t>
  </si>
  <si>
    <t>Miss detection</t>
  </si>
  <si>
    <t>Sensitivity Raised to : 55</t>
  </si>
  <si>
    <t>FP -  backtray</t>
  </si>
  <si>
    <t>All</t>
  </si>
  <si>
    <t>Disconnections from milestone</t>
  </si>
  <si>
    <t>Last happens when camera was offline :2024-12-11 04:51:12,927 [RawLiveSource.PollThread] ERROR MilestoneBridge.MilestoneBridge - Error in milestone bridge.OnLiveContentEvent: args.LiveContent == null || args.Exception != null</t>
  </si>
  <si>
    <t>Cameras had no video</t>
  </si>
  <si>
    <t>AD Tienen</t>
  </si>
  <si>
    <t>Extra cart detection of people that pull back their cart</t>
  </si>
  <si>
    <t xml:space="preserve">New filters that combines passing line L2R,R2L &amp; Full_caddy filter,ROI modifications </t>
  </si>
  <si>
    <t>CM Oostend</t>
  </si>
  <si>
    <t>Special Cart - Backward</t>
  </si>
  <si>
    <t>Sum of Payment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</si>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</sst>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\-yy;@"/>
  </numFmts>
  <fonts count="17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i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charset val="1"/>
    </font>
    <font>
      <sz val="1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8"/>
      <name val="Aptos Narrow"/>
      <family val="2"/>
      <scheme val="minor"/>
    </font>
    <font>
      <strike/>
      <sz val="10"/>
      <color rgb="FF000000"/>
      <name val="Calibri"/>
      <family val="2"/>
    </font>
    <font>
      <strike/>
      <sz val="10"/>
      <color rgb="FF000000"/>
      <name val="Calibri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0"/>
      <color theme="1"/>
      <name val="Calibri"/>
    </font>
    <font>
      <sz val="11"/>
      <color theme="1"/>
      <name val="Calibri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AEAAAA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2" fillId="2" borderId="1" xfId="0" applyFont="1" applyFill="1" applyBorder="1" applyAlignment="1">
      <alignment horizontal="center" readingOrder="1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readingOrder="1"/>
    </xf>
    <xf numFmtId="0" fontId="3" fillId="0" borderId="1" xfId="0" applyFont="1" applyBorder="1" applyAlignment="1">
      <alignment horizontal="center" readingOrder="1"/>
    </xf>
    <xf numFmtId="14" fontId="0" fillId="0" borderId="0" xfId="0" applyNumberFormat="1"/>
    <xf numFmtId="0" fontId="3" fillId="0" borderId="3" xfId="0" applyFont="1" applyBorder="1" applyAlignment="1">
      <alignment horizontal="center"/>
    </xf>
    <xf numFmtId="0" fontId="3" fillId="5" borderId="1" xfId="0" applyFont="1" applyFill="1" applyBorder="1" applyAlignment="1">
      <alignment horizontal="center" readingOrder="1"/>
    </xf>
    <xf numFmtId="0" fontId="3" fillId="4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 readingOrder="1"/>
    </xf>
    <xf numFmtId="0" fontId="3" fillId="0" borderId="6" xfId="0" applyFont="1" applyBorder="1" applyAlignment="1">
      <alignment horizontal="center" readingOrder="1"/>
    </xf>
    <xf numFmtId="0" fontId="3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readingOrder="1"/>
    </xf>
    <xf numFmtId="0" fontId="3" fillId="4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 readingOrder="1"/>
    </xf>
    <xf numFmtId="0" fontId="3" fillId="0" borderId="4" xfId="0" applyFont="1" applyBorder="1" applyAlignment="1">
      <alignment horizontal="center" readingOrder="1"/>
    </xf>
    <xf numFmtId="0" fontId="3" fillId="6" borderId="1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1" fillId="0" borderId="1" xfId="0" applyFont="1" applyBorder="1"/>
    <xf numFmtId="0" fontId="7" fillId="7" borderId="6" xfId="0" applyFont="1" applyFill="1" applyBorder="1" applyAlignment="1">
      <alignment horizontal="center"/>
    </xf>
    <xf numFmtId="0" fontId="1" fillId="0" borderId="9" xfId="0" applyFont="1" applyBorder="1"/>
    <xf numFmtId="0" fontId="3" fillId="0" borderId="1" xfId="0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5" xfId="0" applyBorder="1"/>
    <xf numFmtId="0" fontId="7" fillId="7" borderId="1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7" fillId="7" borderId="15" xfId="0" applyNumberFormat="1" applyFont="1" applyFill="1" applyBorder="1" applyAlignment="1">
      <alignment horizontal="center"/>
    </xf>
    <xf numFmtId="164" fontId="0" fillId="0" borderId="15" xfId="0" applyNumberFormat="1" applyBorder="1"/>
    <xf numFmtId="164" fontId="4" fillId="2" borderId="15" xfId="0" applyNumberFormat="1" applyFont="1" applyFill="1" applyBorder="1" applyAlignment="1">
      <alignment horizontal="center"/>
    </xf>
    <xf numFmtId="164" fontId="3" fillId="7" borderId="15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readingOrder="1"/>
    </xf>
    <xf numFmtId="164" fontId="3" fillId="0" borderId="6" xfId="0" applyNumberFormat="1" applyFont="1" applyBorder="1" applyAlignment="1">
      <alignment horizontal="center" readingOrder="1"/>
    </xf>
    <xf numFmtId="164" fontId="3" fillId="0" borderId="3" xfId="0" applyNumberFormat="1" applyFont="1" applyBorder="1" applyAlignment="1">
      <alignment horizontal="center"/>
    </xf>
    <xf numFmtId="164" fontId="7" fillId="7" borderId="16" xfId="0" applyNumberFormat="1" applyFont="1" applyFill="1" applyBorder="1" applyAlignment="1">
      <alignment horizontal="center"/>
    </xf>
    <xf numFmtId="164" fontId="0" fillId="0" borderId="0" xfId="0" applyNumberFormat="1"/>
    <xf numFmtId="0" fontId="3" fillId="9" borderId="1" xfId="0" applyFont="1" applyFill="1" applyBorder="1" applyAlignment="1">
      <alignment horizontal="center" readingOrder="1"/>
    </xf>
    <xf numFmtId="0" fontId="7" fillId="0" borderId="1" xfId="0" applyFont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9" xfId="0" applyBorder="1"/>
    <xf numFmtId="0" fontId="3" fillId="0" borderId="0" xfId="0" applyFont="1" applyAlignment="1">
      <alignment horizontal="center"/>
    </xf>
    <xf numFmtId="0" fontId="1" fillId="0" borderId="0" xfId="0" applyFont="1"/>
    <xf numFmtId="0" fontId="2" fillId="3" borderId="9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readingOrder="1"/>
    </xf>
    <xf numFmtId="0" fontId="11" fillId="5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readingOrder="1"/>
    </xf>
    <xf numFmtId="14" fontId="3" fillId="12" borderId="1" xfId="0" applyNumberFormat="1" applyFont="1" applyFill="1" applyBorder="1" applyAlignment="1">
      <alignment horizontal="center" readingOrder="1"/>
    </xf>
    <xf numFmtId="0" fontId="2" fillId="0" borderId="1" xfId="0" applyFont="1" applyBorder="1" applyAlignment="1">
      <alignment horizontal="center" readingOrder="1"/>
    </xf>
    <xf numFmtId="14" fontId="2" fillId="0" borderId="1" xfId="0" applyNumberFormat="1" applyFont="1" applyBorder="1" applyAlignment="1">
      <alignment horizontal="center" readingOrder="1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4" fontId="7" fillId="7" borderId="9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6" xfId="0" applyBorder="1"/>
    <xf numFmtId="0" fontId="12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15" fontId="0" fillId="0" borderId="9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 readingOrder="1"/>
    </xf>
    <xf numFmtId="0" fontId="3" fillId="5" borderId="2" xfId="0" applyFont="1" applyFill="1" applyBorder="1" applyAlignment="1">
      <alignment horizontal="center" readingOrder="1"/>
    </xf>
    <xf numFmtId="0" fontId="3" fillId="5" borderId="5" xfId="0" applyFont="1" applyFill="1" applyBorder="1" applyAlignment="1">
      <alignment horizontal="center" readingOrder="1"/>
    </xf>
    <xf numFmtId="0" fontId="7" fillId="5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readingOrder="1"/>
    </xf>
    <xf numFmtId="14" fontId="2" fillId="2" borderId="9" xfId="0" applyNumberFormat="1" applyFont="1" applyFill="1" applyBorder="1" applyAlignment="1">
      <alignment horizontal="center" readingOrder="1"/>
    </xf>
    <xf numFmtId="14" fontId="3" fillId="0" borderId="1" xfId="0" applyNumberFormat="1" applyFont="1" applyBorder="1" applyAlignment="1">
      <alignment horizontal="center" readingOrder="1"/>
    </xf>
    <xf numFmtId="14" fontId="3" fillId="0" borderId="7" xfId="0" applyNumberFormat="1" applyFont="1" applyBorder="1" applyAlignment="1">
      <alignment horizontal="center" readingOrder="1"/>
    </xf>
    <xf numFmtId="165" fontId="3" fillId="11" borderId="1" xfId="0" applyNumberFormat="1" applyFont="1" applyFill="1" applyBorder="1" applyAlignment="1">
      <alignment horizontal="center" readingOrder="1"/>
    </xf>
    <xf numFmtId="165" fontId="0" fillId="0" borderId="9" xfId="0" applyNumberFormat="1" applyBorder="1" applyAlignment="1">
      <alignment horizontal="center"/>
    </xf>
    <xf numFmtId="165" fontId="3" fillId="4" borderId="1" xfId="0" applyNumberFormat="1" applyFont="1" applyFill="1" applyBorder="1" applyAlignment="1">
      <alignment horizontal="center" readingOrder="1"/>
    </xf>
    <xf numFmtId="165" fontId="3" fillId="4" borderId="4" xfId="0" applyNumberFormat="1" applyFont="1" applyFill="1" applyBorder="1" applyAlignment="1">
      <alignment horizontal="center" readingOrder="1"/>
    </xf>
    <xf numFmtId="165" fontId="3" fillId="0" borderId="1" xfId="0" applyNumberFormat="1" applyFont="1" applyBorder="1" applyAlignment="1">
      <alignment horizontal="center" readingOrder="1"/>
    </xf>
    <xf numFmtId="0" fontId="3" fillId="13" borderId="3" xfId="0" applyFont="1" applyFill="1" applyBorder="1" applyAlignment="1">
      <alignment horizontal="center"/>
    </xf>
    <xf numFmtId="0" fontId="7" fillId="11" borderId="15" xfId="0" applyFont="1" applyFill="1" applyBorder="1" applyAlignment="1">
      <alignment horizontal="center"/>
    </xf>
    <xf numFmtId="0" fontId="0" fillId="0" borderId="20" xfId="0" applyBorder="1"/>
    <xf numFmtId="164" fontId="0" fillId="0" borderId="20" xfId="0" applyNumberFormat="1" applyBorder="1"/>
    <xf numFmtId="0" fontId="4" fillId="0" borderId="0" xfId="0" applyFont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1" xfId="0" pivotButton="1" applyBorder="1" applyAlignment="1">
      <alignment horizontal="center"/>
    </xf>
    <xf numFmtId="14" fontId="0" fillId="0" borderId="1" xfId="0" applyNumberForma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readingOrder="1"/>
    </xf>
    <xf numFmtId="164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 readingOrder="1"/>
    </xf>
    <xf numFmtId="0" fontId="3" fillId="0" borderId="9" xfId="0" applyFont="1" applyBorder="1" applyAlignment="1">
      <alignment horizontal="center"/>
    </xf>
    <xf numFmtId="0" fontId="3" fillId="5" borderId="13" xfId="0" applyFont="1" applyFill="1" applyBorder="1" applyAlignment="1">
      <alignment horizontal="center" readingOrder="1"/>
    </xf>
    <xf numFmtId="0" fontId="3" fillId="5" borderId="9" xfId="0" applyFont="1" applyFill="1" applyBorder="1" applyAlignment="1">
      <alignment horizontal="center" readingOrder="1"/>
    </xf>
    <xf numFmtId="0" fontId="2" fillId="0" borderId="7" xfId="0" applyFont="1" applyBorder="1" applyAlignment="1">
      <alignment horizontal="center" readingOrder="1"/>
    </xf>
    <xf numFmtId="0" fontId="3" fillId="0" borderId="7" xfId="0" applyFont="1" applyBorder="1" applyAlignment="1">
      <alignment horizontal="center" readingOrder="1"/>
    </xf>
    <xf numFmtId="0" fontId="3" fillId="0" borderId="11" xfId="0" applyFont="1" applyBorder="1" applyAlignment="1">
      <alignment horizontal="center" readingOrder="1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0" borderId="13" xfId="0" applyFont="1" applyBorder="1" applyAlignment="1">
      <alignment horizontal="center" readingOrder="1"/>
    </xf>
    <xf numFmtId="0" fontId="3" fillId="12" borderId="3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164" fontId="0" fillId="0" borderId="9" xfId="0" applyNumberFormat="1" applyBorder="1"/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14" fontId="3" fillId="0" borderId="14" xfId="0" applyNumberFormat="1" applyFont="1" applyBorder="1" applyAlignment="1">
      <alignment horizontal="center" readingOrder="1"/>
    </xf>
    <xf numFmtId="0" fontId="0" fillId="0" borderId="0" xfId="0" applyAlignment="1">
      <alignment horizontal="center"/>
    </xf>
    <xf numFmtId="165" fontId="7" fillId="11" borderId="1" xfId="0" applyNumberFormat="1" applyFont="1" applyFill="1" applyBorder="1" applyAlignment="1">
      <alignment horizontal="center" readingOrder="1"/>
    </xf>
    <xf numFmtId="0" fontId="15" fillId="14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165" fontId="7" fillId="15" borderId="1" xfId="0" applyNumberFormat="1" applyFont="1" applyFill="1" applyBorder="1" applyAlignment="1">
      <alignment horizontal="center" readingOrder="1"/>
    </xf>
    <xf numFmtId="0" fontId="2" fillId="2" borderId="10" xfId="0" applyFont="1" applyFill="1" applyBorder="1" applyAlignment="1">
      <alignment horizontal="center" readingOrder="1"/>
    </xf>
    <xf numFmtId="0" fontId="3" fillId="9" borderId="3" xfId="0" applyFont="1" applyFill="1" applyBorder="1" applyAlignment="1">
      <alignment horizontal="center"/>
    </xf>
    <xf numFmtId="0" fontId="12" fillId="15" borderId="0" xfId="0" applyFont="1" applyFill="1" applyAlignment="1">
      <alignment horizontal="center"/>
    </xf>
    <xf numFmtId="0" fontId="7" fillId="12" borderId="15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0" fontId="7" fillId="16" borderId="15" xfId="0" applyFont="1" applyFill="1" applyBorder="1" applyAlignment="1">
      <alignment horizontal="center"/>
    </xf>
    <xf numFmtId="0" fontId="7" fillId="16" borderId="7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 readingOrder="1"/>
    </xf>
    <xf numFmtId="0" fontId="3" fillId="17" borderId="1" xfId="0" applyFont="1" applyFill="1" applyBorder="1" applyAlignment="1">
      <alignment horizontal="center" readingOrder="1"/>
    </xf>
    <xf numFmtId="0" fontId="3" fillId="17" borderId="4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4" fontId="3" fillId="11" borderId="1" xfId="0" applyNumberFormat="1" applyFont="1" applyFill="1" applyBorder="1" applyAlignment="1">
      <alignment horizontal="center" readingOrder="1"/>
    </xf>
    <xf numFmtId="0" fontId="3" fillId="13" borderId="1" xfId="0" applyFont="1" applyFill="1" applyBorder="1" applyAlignment="1">
      <alignment horizontal="center" readingOrder="1"/>
    </xf>
    <xf numFmtId="164" fontId="3" fillId="13" borderId="3" xfId="0" applyNumberFormat="1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readingOrder="1"/>
    </xf>
    <xf numFmtId="0" fontId="3" fillId="13" borderId="1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 readingOrder="1"/>
    </xf>
    <xf numFmtId="165" fontId="3" fillId="13" borderId="4" xfId="0" applyNumberFormat="1" applyFont="1" applyFill="1" applyBorder="1" applyAlignment="1">
      <alignment horizontal="center" readingOrder="1"/>
    </xf>
    <xf numFmtId="0" fontId="0" fillId="13" borderId="0" xfId="0" applyFill="1"/>
    <xf numFmtId="0" fontId="7" fillId="9" borderId="7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readingOrder="1"/>
    </xf>
    <xf numFmtId="164" fontId="7" fillId="7" borderId="20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3" fillId="13" borderId="1" xfId="0" applyNumberFormat="1" applyFont="1" applyFill="1" applyBorder="1" applyAlignment="1">
      <alignment horizontal="center" readingOrder="1"/>
    </xf>
    <xf numFmtId="0" fontId="3" fillId="13" borderId="2" xfId="0" applyFont="1" applyFill="1" applyBorder="1" applyAlignment="1">
      <alignment horizontal="center"/>
    </xf>
    <xf numFmtId="164" fontId="3" fillId="13" borderId="1" xfId="0" applyNumberFormat="1" applyFont="1" applyFill="1" applyBorder="1" applyAlignment="1">
      <alignment horizontal="center" readingOrder="1"/>
    </xf>
    <xf numFmtId="0" fontId="3" fillId="13" borderId="7" xfId="0" applyFont="1" applyFill="1" applyBorder="1" applyAlignment="1">
      <alignment horizontal="center" readingOrder="1"/>
    </xf>
    <xf numFmtId="14" fontId="3" fillId="19" borderId="1" xfId="0" applyNumberFormat="1" applyFont="1" applyFill="1" applyBorder="1" applyAlignment="1">
      <alignment horizontal="center" readingOrder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4" fontId="3" fillId="0" borderId="9" xfId="0" applyNumberFormat="1" applyFont="1" applyBorder="1" applyAlignment="1">
      <alignment horizontal="center" readingOrder="1"/>
    </xf>
    <xf numFmtId="164" fontId="0" fillId="0" borderId="7" xfId="0" applyNumberFormat="1" applyBorder="1"/>
    <xf numFmtId="164" fontId="0" fillId="0" borderId="10" xfId="0" applyNumberFormat="1" applyBorder="1"/>
    <xf numFmtId="164" fontId="0" fillId="0" borderId="7" xfId="0" applyNumberFormat="1" applyBorder="1" applyAlignment="1">
      <alignment horizontal="center"/>
    </xf>
    <xf numFmtId="0" fontId="1" fillId="0" borderId="7" xfId="0" applyFont="1" applyBorder="1"/>
    <xf numFmtId="0" fontId="1" fillId="0" borderId="1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16" fillId="20" borderId="1" xfId="0" applyFont="1" applyFill="1" applyBorder="1" applyAlignment="1">
      <alignment horizontal="center" wrapText="1"/>
    </xf>
    <xf numFmtId="0" fontId="16" fillId="20" borderId="1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0" xfId="0" applyFill="1" applyAlignment="1">
      <alignment horizontal="center"/>
    </xf>
    <xf numFmtId="164" fontId="0" fillId="0" borderId="7" xfId="0" applyNumberFormat="1" applyBorder="1" applyAlignment="1">
      <alignment horizontal="center"/>
    </xf>
  </cellXfs>
  <cellStyles count="1">
    <cellStyle name="Normal" xfId="0" builtinId="0"/>
  </cellStyles>
  <dxfs count="40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[CaddyCheckProjectsInfo.xlsx]Yearly Payment Summary!PivotTable1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0070C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'Yearly Payment Summary'!$B$2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Payment Summary'!$A$3:$A$16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Not paid</c:v>
                </c:pt>
              </c:strCache>
            </c:strRef>
          </c:cat>
          <c:val>
            <c:numRef>
              <c:f>'Yearly Payment Summary'!$B$3:$B$16</c:f>
              <c:numCache>
                <c:formatCode>General</c:formatCode>
                <c:ptCount val="13"/>
                <c:pt idx="0">
                  <c:v>3380</c:v>
                </c:pt>
                <c:pt idx="1">
                  <c:v>19970</c:v>
                </c:pt>
                <c:pt idx="2">
                  <c:v>13190</c:v>
                </c:pt>
                <c:pt idx="3">
                  <c:v>59198</c:v>
                </c:pt>
                <c:pt idx="4">
                  <c:v>75896</c:v>
                </c:pt>
                <c:pt idx="5">
                  <c:v>193420</c:v>
                </c:pt>
                <c:pt idx="6">
                  <c:v>36176</c:v>
                </c:pt>
                <c:pt idx="7">
                  <c:v>136417</c:v>
                </c:pt>
                <c:pt idx="8">
                  <c:v>105084</c:v>
                </c:pt>
                <c:pt idx="9">
                  <c:v>174985</c:v>
                </c:pt>
                <c:pt idx="10">
                  <c:v>145798</c:v>
                </c:pt>
                <c:pt idx="11">
                  <c:v>366182</c:v>
                </c:pt>
                <c:pt idx="12">
                  <c:v>141588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46-4249-8AEF-0D37D6ED7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894471"/>
        <c:axId val="2120434695"/>
      </c:lineChart>
      <c:catAx>
        <c:axId val="2072894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434695"/>
        <c:crosses val="autoZero"/>
        <c:auto val="1"/>
        <c:lblAlgn val="ctr"/>
        <c:lblOffset val="100"/>
        <c:noMultiLvlLbl val="0"/>
      </c:catAx>
      <c:valAx>
        <c:axId val="212043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94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1</xdr:row>
      <xdr:rowOff>66675</xdr:rowOff>
    </xdr:from>
    <xdr:to>
      <xdr:col>13</xdr:col>
      <xdr:colOff>857250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5173FA-AE5E-2DA7-9E60-47C11D3B4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vika Shtorch" id="{38EAD129-A012-4D88-919A-3612E973B351}" userId="S::zvikas@video-inform.com::76f48fc2-13cb-4c1e-8f07-2999a571375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58.826854861109" createdVersion="8" refreshedVersion="8" minRefreshableVersion="3" recordCount="527" xr:uid="{4127D8C0-CE5B-4570-9669-6DF3E550226B}">
  <cacheSource type="worksheet">
    <worksheetSource ref="A1:H528" sheet="Invoice details"/>
  </cacheSource>
  <cacheFields count="8">
    <cacheField name="Invoice Number" numFmtId="0">
      <sharedItems containsSemiMixedTypes="0" containsString="0" containsNumber="1" containsInteger="1" minValue="8020" maxValue="8623"/>
    </cacheField>
    <cacheField name="Project name" numFmtId="0">
      <sharedItems count="195">
        <s v="Carrefour Express Rillaar"/>
        <s v="CM Berlaar"/>
        <s v="Cora Chatelineau"/>
        <s v="Proxy Passendale"/>
        <s v="AH Roeselare"/>
        <s v="Eurospar Dadizele"/>
        <s v="AD Ravels"/>
        <s v="CM Moorsel"/>
        <s v="Proxy Hoevenan"/>
        <s v="Plus Elburg"/>
        <s v="Plus Cullenburg"/>
        <s v="Plus Heeten"/>
        <s v="Plus Van Den Horst"/>
        <s v="Coop Paanaker"/>
        <s v="Coop Bert Stuut (back)"/>
        <s v="AD Tessenderlo"/>
        <s v="Jumbo Roden Jansema"/>
        <s v="AH Kaatsheuvel"/>
        <s v="Proxy Delhaize Muizen"/>
        <s v="Emte Brakel"/>
        <s v="Plus Thuitman"/>
        <s v="AH Heeze"/>
        <s v="Plus Klein"/>
        <s v="Plus Meerkerk (Back)"/>
        <s v="Jumbo Brielle"/>
        <s v="Plus Harlingen"/>
        <s v="Plus Maastricht Starren"/>
        <s v="Proxy Delhaize Denderhoutem (Back)"/>
        <s v="Jumbo Diemen"/>
        <s v="AD Aartselar (4 Back)"/>
        <s v="Plus Delft (4 Back)"/>
        <s v="Plus Markelo Blankhorst"/>
        <s v="Jumbo Eindhoven Bosdijk"/>
        <s v="Coop bert stuut (Top)"/>
        <s v="Coop Cockengen"/>
        <s v="Plus Waalwijk"/>
        <s v="Coop Stendeeren"/>
        <s v="Jumbo Lokerenpassage"/>
        <s v="Plus Horst"/>
        <s v="Plus kamerik Romijn"/>
        <s v="Jumbo Lemmer"/>
        <s v="AH Geldermalsen"/>
        <s v="AH Asten"/>
        <s v="Plus De Meeren"/>
        <s v="CM Kortenberg"/>
        <s v="AH Dokkum"/>
        <s v="Jumbo Rotterdam"/>
        <s v="AD Harelbeke"/>
        <s v="CM Alma mol"/>
        <s v="AH Waalwijk"/>
        <s v="Jumbo Groningen pestman"/>
        <s v="Plus Waarder Hoogendoorn"/>
        <s v="Jumbo Gravendeel"/>
        <s v="Plus Landgraaf Wetzels"/>
        <s v="Plus Maastricht Savelkoul"/>
        <s v="Plus Maastricht Caberg"/>
        <s v="Plus Simpelveld Schouteten"/>
        <s v="Plus Landgraaf Arts"/>
        <s v="Plus Delft (1 Top)"/>
        <s v="Coop Kockengen"/>
        <s v="Jumbo Uden De Laak (Back)"/>
        <s v="AD GrootBijgaarden"/>
        <s v="AD Vichte"/>
        <s v="Plus Brunssum Quaedvlieg"/>
        <s v="Plus Meerkerk (Top)"/>
        <s v="Jumbo Olm Krimpen aan den Ijssel"/>
        <s v="CM Alma Lommel"/>
        <s v="AH Hulst"/>
        <s v="EuroSpar Denderleew"/>
        <s v="Jumbo Uden De Laak (from Back to TD)"/>
        <s v="Jumbo Gouda Hagendoorn"/>
        <s v="Plus Maastricht Caberg  (from Back to TD)"/>
        <s v="Jumbo Eindhoven Bosdijk (from side to TD)"/>
        <s v="Plus Gulpen Kleijnen"/>
        <s v="Plus Klazienaveen Fischer"/>
        <s v="Jumbo Heesch Wiegmans"/>
        <s v="Jumbo Zeeland Eijssermans"/>
        <s v="AH Erp"/>
        <s v="AD Aartselar (1 Top)"/>
        <s v="Proxy Delhaize Denderhoutem (Top)"/>
        <s v="Proxy Delhaize Berchem"/>
        <s v="AD Borgerhout"/>
        <s v="AD Grobbendonk"/>
        <s v="AD Geraardsbergen"/>
        <s v="AD Vlijtingen"/>
        <s v="AD Schelle"/>
        <s v="Alvo Konitch"/>
        <s v="CM Moorslede"/>
        <s v="AD Merksplas"/>
        <s v="AD Brecht"/>
        <s v="Plus Simpleveld Schouteden"/>
        <s v="AD Deinze"/>
        <s v="Plus langraaf Aarts extra checkouts"/>
        <s v="Plus Simpelveld Schouteden"/>
        <s v="CM St-Gillis-Waas"/>
        <s v="AD Zwijnaarde"/>
        <s v="Eurospar Dadizele (2nd)"/>
        <s v="Alvo Kontich"/>
        <s v="CM Sint-Niklaas"/>
        <s v="AH Rumbeke"/>
        <s v="CM Zeebrugge"/>
        <s v="Proxy Delhaize Meeuwen"/>
        <s v="AD Colfontaine"/>
        <s v="AD Galmaarden"/>
        <s v="Cactus Bonnevoie"/>
        <s v="AD Aartselar (4 Top)"/>
        <s v="CM Alma Bilzen"/>
        <s v="Spar Denderleew"/>
        <s v="Jumbo Dedemsvaart"/>
        <s v="CM Oedelem"/>
        <s v="Proxy Delhaize Leest"/>
        <s v="Proxy Delhaize Grootzand"/>
        <s v="AD Hoeilaart"/>
        <s v="AD Barchon"/>
        <s v="Spar Dadizele (2nd)"/>
        <s v="AH Merksem"/>
        <s v="AD Heist-op-den-Berg"/>
        <s v="Cora Hornou"/>
        <s v="CM Alma Geel"/>
        <s v="AD Waregem"/>
        <s v="AH Oudenaarde"/>
        <s v="PLUS Klazienaveen"/>
        <s v="AH Waregem"/>
        <s v="AH Schilde"/>
        <s v="AD Munsterbilzen"/>
        <s v="spar Dadizele"/>
        <s v="Alvo Kontich "/>
        <s v="Proxy Delhaize Denderhoutem"/>
        <s v="AH Ninove"/>
        <s v="AH Dendemonde"/>
        <s v="AD Soumagune"/>
        <s v="Proxy Delhaize Fléron"/>
        <s v="CM Square Marlow"/>
        <s v="Alma Geel"/>
        <s v="Carrefour Market Kortenberg"/>
        <s v="CM Bascule"/>
        <s v="Proxy Delhaize Sint Jan in Eremo"/>
        <s v="AD Delhaize Nederename"/>
        <s v="AD Wetteren"/>
        <s v="AD Delhaize Aartselaar"/>
        <s v="CM Alma Bilzen "/>
        <s v="CM Elouges"/>
        <s v="CM Alma Herentals"/>
        <s v="Proxy Delhaize Beerzel"/>
        <s v="Proxy Delhaize Staden"/>
        <s v="Proxy Delhaize Langemark"/>
        <s v="CM Zeebrugge "/>
        <s v="Carrefour Express Orange Meer"/>
        <s v="CM Hoboken Zuid"/>
        <s v="CM Hoboken Kiosk"/>
        <s v="Proxy Delhaize Denderleeuw"/>
        <s v="AD Delhaize Denderleeuw"/>
        <s v="AD Delhaize Retie"/>
        <s v="AD Delhaize Arendonk"/>
        <s v="Merim Supermarket"/>
        <s v="AD Delhaize Watersport"/>
        <s v="AD Delhaize Bellegem"/>
        <s v="AD Delhaize Kalmthout"/>
        <s v="AD Delhaize Grimbergen"/>
        <s v="AD Delhaize Halle"/>
        <s v="Proxy Delhaize Westerlo"/>
        <s v="Proxy Delhaize Veerle"/>
        <s v="AD Delhaize Deurne"/>
        <s v="Proxy Delhaize Westkerke"/>
        <s v="AD SOUMAGANE"/>
        <s v="CM Kapelle-op-den-bos"/>
        <s v="Delhaize Sint-Lievens-Houtem"/>
        <s v="AD Lede"/>
        <s v="AD Ledeberg"/>
        <s v="CM Essen"/>
        <s v="Proxy Delhaize Sint-Amandsberg"/>
        <s v="CM Waregem"/>
        <s v="AD Gent Ster"/>
        <s v="CM Wilrijk Valaar"/>
        <s v="AD Sint-Kruis Brugge"/>
        <s v="AD Aalter"/>
        <s v="AD Reet"/>
        <s v="AD Nederename"/>
        <s v="AD Heist"/>
        <s v="AD Aartselar"/>
        <s v="AD Delhaize Geraardsbergen"/>
        <s v="AH Merksem MAATJES"/>
        <s v="AD Delhaize Zottegem"/>
        <s v="AD Zwevegem"/>
        <s v="AD Deinze "/>
        <s v="AD Knokke"/>
        <s v="CM Essen (coplementary)"/>
        <s v="AD Wondelgem"/>
        <s v=" AD Tienen"/>
        <s v="AD Asse"/>
        <s v="AD Ninove"/>
        <s v="AD Brugge Sint Pieters"/>
        <s v="CM Oostende"/>
        <s v="AD Delhaize Borgerhout"/>
        <s v=" Carrefour Market Kortenberg" u="1"/>
      </sharedItems>
    </cacheField>
    <cacheField name="Maintenance Year" numFmtId="0">
      <sharedItems count="8">
        <s v="Y1"/>
        <s v="Y2"/>
        <s v="Y3"/>
        <s v="Y5"/>
        <s v="Y4"/>
        <s v="Y6"/>
        <s v="Y7"/>
        <s v="Y8"/>
      </sharedItems>
    </cacheField>
    <cacheField name="Payment amount" numFmtId="0">
      <sharedItems containsSemiMixedTypes="0" containsString="0" containsNumber="1" containsInteger="1" minValue="228" maxValue="20228"/>
    </cacheField>
    <cacheField name="Cameras number" numFmtId="0">
      <sharedItems containsString="0" containsBlank="1" containsNumber="1" containsInteger="1" minValue="3" maxValue="26"/>
    </cacheField>
    <cacheField name="Payment Date" numFmtId="0">
      <sharedItems containsNonDate="0" containsDate="1" containsString="0" containsBlank="1" minDate="2013-11-30T00:00:00" maxDate="2024-12-31T00:00:00"/>
    </cacheField>
    <cacheField name="Paid" numFmtId="0">
      <sharedItems/>
    </cacheField>
    <cacheField name="Year" numFmtId="0">
      <sharedItems containsMixedTypes="1" containsNumber="1" containsInteger="1" minValue="2013" maxValue="2024" count="13">
        <n v="2013"/>
        <n v="2014"/>
        <n v="2015"/>
        <n v="2016"/>
        <n v="2017"/>
        <n v="2018"/>
        <n v="2019"/>
        <n v="2020"/>
        <n v="2022"/>
        <n v="2021"/>
        <n v="2023"/>
        <n v="2024"/>
        <s v="Not pai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n v="8020"/>
    <x v="0"/>
    <x v="0"/>
    <n v="3380"/>
    <n v="5"/>
    <d v="2013-11-30T00:00:00"/>
    <s v="Yes"/>
    <x v="0"/>
  </r>
  <r>
    <n v="8024"/>
    <x v="1"/>
    <x v="0"/>
    <n v="3380"/>
    <n v="5"/>
    <d v="2014-01-11T00:00:00"/>
    <s v="Yes"/>
    <x v="1"/>
  </r>
  <r>
    <n v="8025"/>
    <x v="2"/>
    <x v="0"/>
    <n v="3380"/>
    <m/>
    <d v="2014-02-13T00:00:00"/>
    <s v="Yes"/>
    <x v="1"/>
  </r>
  <r>
    <n v="8026"/>
    <x v="3"/>
    <x v="0"/>
    <n v="5070"/>
    <m/>
    <d v="2014-02-11T00:00:00"/>
    <s v="Yes"/>
    <x v="1"/>
  </r>
  <r>
    <n v="8031"/>
    <x v="4"/>
    <x v="0"/>
    <n v="5180"/>
    <m/>
    <d v="2014-11-30T00:00:00"/>
    <s v="Yes"/>
    <x v="1"/>
  </r>
  <r>
    <n v="8032"/>
    <x v="5"/>
    <x v="0"/>
    <n v="2960"/>
    <m/>
    <d v="2014-11-30T00:00:00"/>
    <s v="Yes"/>
    <x v="1"/>
  </r>
  <r>
    <n v="8042"/>
    <x v="4"/>
    <x v="1"/>
    <n v="1330"/>
    <m/>
    <d v="2015-05-31T00:00:00"/>
    <s v="Yes"/>
    <x v="2"/>
  </r>
  <r>
    <n v="8043"/>
    <x v="5"/>
    <x v="1"/>
    <n v="760"/>
    <m/>
    <d v="2015-11-30T00:00:00"/>
    <s v="Yes"/>
    <x v="2"/>
  </r>
  <r>
    <n v="8044"/>
    <x v="6"/>
    <x v="0"/>
    <n v="4440"/>
    <m/>
    <d v="2015-03-31T00:00:00"/>
    <s v="Yes"/>
    <x v="2"/>
  </r>
  <r>
    <n v="8045"/>
    <x v="7"/>
    <x v="0"/>
    <n v="3700"/>
    <m/>
    <d v="2015-06-30T00:00:00"/>
    <s v="Yes"/>
    <x v="2"/>
  </r>
  <r>
    <n v="8046"/>
    <x v="8"/>
    <x v="0"/>
    <n v="2960"/>
    <m/>
    <d v="2015-09-30T00:00:00"/>
    <s v="Yes"/>
    <x v="2"/>
  </r>
  <r>
    <n v="8047"/>
    <x v="9"/>
    <x v="0"/>
    <n v="4668"/>
    <m/>
    <d v="2016-01-11T00:00:00"/>
    <s v="Yes"/>
    <x v="3"/>
  </r>
  <r>
    <n v="8048"/>
    <x v="10"/>
    <x v="0"/>
    <n v="3890"/>
    <m/>
    <d v="2016-11-30T00:00:00"/>
    <s v="Yes"/>
    <x v="3"/>
  </r>
  <r>
    <n v="8049"/>
    <x v="11"/>
    <x v="0"/>
    <n v="3890"/>
    <m/>
    <d v="2016-11-30T00:00:00"/>
    <s v="Yes"/>
    <x v="3"/>
  </r>
  <r>
    <n v="8050"/>
    <x v="12"/>
    <x v="0"/>
    <n v="3890"/>
    <m/>
    <d v="2016-12-31T00:00:00"/>
    <s v="Yes"/>
    <x v="3"/>
  </r>
  <r>
    <n v="8051"/>
    <x v="13"/>
    <x v="0"/>
    <n v="4668"/>
    <m/>
    <d v="2016-12-31T00:00:00"/>
    <s v="Yes"/>
    <x v="3"/>
  </r>
  <r>
    <n v="8052"/>
    <x v="14"/>
    <x v="0"/>
    <n v="3112"/>
    <m/>
    <d v="2016-01-03T00:00:00"/>
    <s v="Yes"/>
    <x v="3"/>
  </r>
  <r>
    <n v="8053"/>
    <x v="15"/>
    <x v="0"/>
    <n v="2334"/>
    <m/>
    <d v="2016-01-03T00:00:00"/>
    <s v="Yes"/>
    <x v="3"/>
  </r>
  <r>
    <n v="8054"/>
    <x v="16"/>
    <x v="0"/>
    <n v="5446"/>
    <m/>
    <d v="2016-01-03T00:00:00"/>
    <s v="Yes"/>
    <x v="3"/>
  </r>
  <r>
    <n v="8055"/>
    <x v="17"/>
    <x v="0"/>
    <n v="3890"/>
    <m/>
    <d v="2016-03-31T00:00:00"/>
    <s v="Yes"/>
    <x v="3"/>
  </r>
  <r>
    <n v="8056"/>
    <x v="18"/>
    <x v="0"/>
    <n v="778"/>
    <m/>
    <d v="2016-03-31T00:00:00"/>
    <s v="Yes"/>
    <x v="3"/>
  </r>
  <r>
    <n v="8057"/>
    <x v="4"/>
    <x v="1"/>
    <n v="1862"/>
    <m/>
    <d v="2016-05-31T00:00:00"/>
    <s v="Yes"/>
    <x v="3"/>
  </r>
  <r>
    <n v="8058"/>
    <x v="5"/>
    <x v="2"/>
    <n v="1064"/>
    <m/>
    <d v="2016-05-31T00:00:00"/>
    <s v="Yes"/>
    <x v="3"/>
  </r>
  <r>
    <n v="8059"/>
    <x v="6"/>
    <x v="1"/>
    <n v="1596"/>
    <m/>
    <d v="2016-03-31T00:00:00"/>
    <s v="Yes"/>
    <x v="3"/>
  </r>
  <r>
    <n v="8060"/>
    <x v="7"/>
    <x v="1"/>
    <n v="1330"/>
    <m/>
    <d v="2016-06-30T00:00:00"/>
    <s v="Yes"/>
    <x v="3"/>
  </r>
  <r>
    <n v="8061"/>
    <x v="19"/>
    <x v="0"/>
    <n v="3112"/>
    <m/>
    <d v="2016-07-30T00:00:00"/>
    <s v="Yes"/>
    <x v="3"/>
  </r>
  <r>
    <n v="8062"/>
    <x v="20"/>
    <x v="0"/>
    <n v="3112"/>
    <m/>
    <d v="2017-07-13T00:00:00"/>
    <s v="Yes"/>
    <x v="4"/>
  </r>
  <r>
    <n v="8063"/>
    <x v="21"/>
    <x v="0"/>
    <n v="1556"/>
    <m/>
    <d v="2016-11-30T00:00:00"/>
    <s v="Yes"/>
    <x v="3"/>
  </r>
  <r>
    <n v="8064"/>
    <x v="22"/>
    <x v="0"/>
    <n v="2334"/>
    <m/>
    <d v="2016-11-30T00:00:00"/>
    <s v="Yes"/>
    <x v="3"/>
  </r>
  <r>
    <n v="8065"/>
    <x v="23"/>
    <x v="0"/>
    <n v="3112"/>
    <m/>
    <d v="2017-07-13T00:00:00"/>
    <s v="Yes"/>
    <x v="4"/>
  </r>
  <r>
    <n v="8066"/>
    <x v="24"/>
    <x v="0"/>
    <n v="4668"/>
    <m/>
    <d v="2018-07-31T00:00:00"/>
    <s v="Yes"/>
    <x v="5"/>
  </r>
  <r>
    <n v="8067"/>
    <x v="25"/>
    <x v="0"/>
    <n v="3890"/>
    <m/>
    <d v="2016-01-08T00:00:00"/>
    <s v="Yes"/>
    <x v="3"/>
  </r>
  <r>
    <n v="8068"/>
    <x v="26"/>
    <x v="0"/>
    <n v="4668"/>
    <m/>
    <d v="2017-07-21T00:00:00"/>
    <s v="Yes"/>
    <x v="4"/>
  </r>
  <r>
    <n v="8069"/>
    <x v="27"/>
    <x v="0"/>
    <n v="3112"/>
    <m/>
    <d v="2018-01-08T00:00:00"/>
    <s v="Yes"/>
    <x v="5"/>
  </r>
  <r>
    <n v="8070"/>
    <x v="28"/>
    <x v="0"/>
    <n v="1556"/>
    <m/>
    <d v="2016-11-30T00:00:00"/>
    <s v="Yes"/>
    <x v="3"/>
  </r>
  <r>
    <n v="8071"/>
    <x v="29"/>
    <x v="0"/>
    <n v="3890"/>
    <m/>
    <d v="2017-07-21T00:00:00"/>
    <s v="Yes"/>
    <x v="4"/>
  </r>
  <r>
    <n v="8072"/>
    <x v="7"/>
    <x v="1"/>
    <n v="1330"/>
    <m/>
    <d v="2016-12-31T00:00:00"/>
    <s v="Yes"/>
    <x v="3"/>
  </r>
  <r>
    <n v="8073"/>
    <x v="9"/>
    <x v="1"/>
    <n v="362"/>
    <m/>
    <d v="2017-07-21T00:00:00"/>
    <s v="Yes"/>
    <x v="4"/>
  </r>
  <r>
    <n v="8074"/>
    <x v="10"/>
    <x v="1"/>
    <n v="1140"/>
    <m/>
    <d v="2016-12-31T00:00:00"/>
    <s v="Yes"/>
    <x v="3"/>
  </r>
  <r>
    <n v="8075"/>
    <x v="4"/>
    <x v="2"/>
    <n v="1862"/>
    <m/>
    <d v="2016-12-31T00:00:00"/>
    <s v="Yes"/>
    <x v="3"/>
  </r>
  <r>
    <n v="8076"/>
    <x v="11"/>
    <x v="1"/>
    <n v="1140"/>
    <m/>
    <d v="2017-07-13T00:00:00"/>
    <s v="Yes"/>
    <x v="4"/>
  </r>
  <r>
    <n v="8077"/>
    <x v="30"/>
    <x v="0"/>
    <n v="3112"/>
    <m/>
    <d v="2017-03-22T00:00:00"/>
    <s v="Yes"/>
    <x v="4"/>
  </r>
  <r>
    <n v="8078"/>
    <x v="31"/>
    <x v="0"/>
    <n v="2334"/>
    <m/>
    <d v="2017-03-22T00:00:00"/>
    <s v="Yes"/>
    <x v="4"/>
  </r>
  <r>
    <n v="8079"/>
    <x v="32"/>
    <x v="0"/>
    <n v="3112"/>
    <m/>
    <d v="2017-06-13T00:00:00"/>
    <s v="Yes"/>
    <x v="4"/>
  </r>
  <r>
    <n v="8080"/>
    <x v="33"/>
    <x v="0"/>
    <n v="3112"/>
    <m/>
    <d v="2017-06-13T00:00:00"/>
    <s v="Yes"/>
    <x v="4"/>
  </r>
  <r>
    <n v="8081"/>
    <x v="34"/>
    <x v="0"/>
    <n v="2334"/>
    <m/>
    <d v="2017-06-13T00:00:00"/>
    <s v="Yes"/>
    <x v="4"/>
  </r>
  <r>
    <n v="8082"/>
    <x v="35"/>
    <x v="0"/>
    <n v="3112"/>
    <m/>
    <d v="2017-06-13T00:00:00"/>
    <s v="Yes"/>
    <x v="4"/>
  </r>
  <r>
    <n v="8083"/>
    <x v="36"/>
    <x v="0"/>
    <n v="3112"/>
    <m/>
    <d v="2017-06-13T00:00:00"/>
    <s v="Yes"/>
    <x v="4"/>
  </r>
  <r>
    <n v="8084"/>
    <x v="12"/>
    <x v="1"/>
    <n v="1140"/>
    <m/>
    <d v="2017-06-13T00:00:00"/>
    <s v="Yes"/>
    <x v="4"/>
  </r>
  <r>
    <n v="8085"/>
    <x v="13"/>
    <x v="1"/>
    <n v="1368"/>
    <m/>
    <d v="2017-06-13T00:00:00"/>
    <s v="Yes"/>
    <x v="4"/>
  </r>
  <r>
    <n v="8086"/>
    <x v="37"/>
    <x v="0"/>
    <n v="4668"/>
    <m/>
    <d v="2017-07-28T00:00:00"/>
    <s v="Yes"/>
    <x v="4"/>
  </r>
  <r>
    <n v="8087"/>
    <x v="38"/>
    <x v="0"/>
    <n v="3112"/>
    <m/>
    <d v="2018-07-08T00:00:00"/>
    <s v="Yes"/>
    <x v="5"/>
  </r>
  <r>
    <n v="8088"/>
    <x v="39"/>
    <x v="0"/>
    <n v="2334"/>
    <m/>
    <d v="2018-07-08T00:00:00"/>
    <s v="Yes"/>
    <x v="5"/>
  </r>
  <r>
    <n v="8090"/>
    <x v="40"/>
    <x v="0"/>
    <n v="3112"/>
    <m/>
    <d v="2017-08-16T00:00:00"/>
    <s v="Yes"/>
    <x v="4"/>
  </r>
  <r>
    <n v="8091"/>
    <x v="41"/>
    <x v="0"/>
    <n v="4668"/>
    <m/>
    <d v="2017-08-16T00:00:00"/>
    <s v="Yes"/>
    <x v="4"/>
  </r>
  <r>
    <n v="8092"/>
    <x v="42"/>
    <x v="0"/>
    <n v="4668"/>
    <m/>
    <d v="2017-08-16T00:00:00"/>
    <s v="Yes"/>
    <x v="4"/>
  </r>
  <r>
    <n v="8093"/>
    <x v="43"/>
    <x v="0"/>
    <n v="3112"/>
    <m/>
    <d v="2017-08-16T00:00:00"/>
    <s v="Yes"/>
    <x v="4"/>
  </r>
  <r>
    <n v="8094"/>
    <x v="44"/>
    <x v="0"/>
    <n v="5446"/>
    <m/>
    <d v="2017-10-13T00:00:00"/>
    <s v="Yes"/>
    <x v="4"/>
  </r>
  <r>
    <n v="8095"/>
    <x v="4"/>
    <x v="3"/>
    <n v="1596"/>
    <m/>
    <d v="2017-10-13T00:00:00"/>
    <s v="Yes"/>
    <x v="4"/>
  </r>
  <r>
    <n v="8096"/>
    <x v="5"/>
    <x v="4"/>
    <n v="912"/>
    <m/>
    <d v="2017-10-13T00:00:00"/>
    <s v="Yes"/>
    <x v="4"/>
  </r>
  <r>
    <n v="8097"/>
    <x v="6"/>
    <x v="2"/>
    <n v="1398"/>
    <m/>
    <d v="2017-10-19T00:00:00"/>
    <s v="Yes"/>
    <x v="4"/>
  </r>
  <r>
    <n v="8098"/>
    <x v="7"/>
    <x v="2"/>
    <n v="1140"/>
    <m/>
    <d v="2017-10-19T00:00:00"/>
    <s v="Yes"/>
    <x v="4"/>
  </r>
  <r>
    <n v="8099"/>
    <x v="14"/>
    <x v="1"/>
    <n v="912"/>
    <m/>
    <d v="2017-10-19T00:00:00"/>
    <s v="Yes"/>
    <x v="4"/>
  </r>
  <r>
    <n v="8100"/>
    <x v="15"/>
    <x v="1"/>
    <n v="684"/>
    <m/>
    <d v="2017-10-19T00:00:00"/>
    <s v="Yes"/>
    <x v="4"/>
  </r>
  <r>
    <n v="8101"/>
    <x v="16"/>
    <x v="1"/>
    <n v="1596"/>
    <m/>
    <d v="2017-10-19T00:00:00"/>
    <s v="Yes"/>
    <x v="4"/>
  </r>
  <r>
    <n v="8102"/>
    <x v="17"/>
    <x v="1"/>
    <n v="1140"/>
    <m/>
    <d v="2017-10-19T00:00:00"/>
    <s v="Yes"/>
    <x v="4"/>
  </r>
  <r>
    <n v="8103"/>
    <x v="18"/>
    <x v="1"/>
    <n v="228"/>
    <m/>
    <d v="2017-10-19T00:00:00"/>
    <s v="Yes"/>
    <x v="4"/>
  </r>
  <r>
    <n v="8104"/>
    <x v="19"/>
    <x v="1"/>
    <n v="912"/>
    <m/>
    <d v="2017-10-19T00:00:00"/>
    <s v="Yes"/>
    <x v="4"/>
  </r>
  <r>
    <n v="8106"/>
    <x v="22"/>
    <x v="1"/>
    <n v="684"/>
    <m/>
    <d v="2017-10-19T00:00:00"/>
    <s v="Yes"/>
    <x v="4"/>
  </r>
  <r>
    <n v="8108"/>
    <x v="45"/>
    <x v="0"/>
    <n v="3890"/>
    <m/>
    <d v="2018-11-01T00:00:00"/>
    <s v="Yes"/>
    <x v="5"/>
  </r>
  <r>
    <n v="8109"/>
    <x v="46"/>
    <x v="0"/>
    <n v="3890"/>
    <m/>
    <d v="2018-11-01T00:00:00"/>
    <s v="Yes"/>
    <x v="5"/>
  </r>
  <r>
    <n v="8110"/>
    <x v="47"/>
    <x v="0"/>
    <n v="12448"/>
    <m/>
    <d v="2018-07-30T00:00:00"/>
    <s v="Yes"/>
    <x v="5"/>
  </r>
  <r>
    <n v="8111"/>
    <x v="48"/>
    <x v="0"/>
    <n v="7780"/>
    <m/>
    <d v="2018-03-05T00:00:00"/>
    <s v="Yes"/>
    <x v="5"/>
  </r>
  <r>
    <n v="8112"/>
    <x v="49"/>
    <x v="0"/>
    <n v="3112"/>
    <m/>
    <d v="2018-04-23T00:00:00"/>
    <s v="Yes"/>
    <x v="5"/>
  </r>
  <r>
    <n v="8113"/>
    <x v="50"/>
    <x v="0"/>
    <n v="2334"/>
    <m/>
    <d v="2018-04-23T00:00:00"/>
    <s v="Yes"/>
    <x v="5"/>
  </r>
  <r>
    <n v="8114"/>
    <x v="51"/>
    <x v="0"/>
    <n v="3112"/>
    <m/>
    <d v="2018-04-23T00:00:00"/>
    <s v="Yes"/>
    <x v="5"/>
  </r>
  <r>
    <n v="8115"/>
    <x v="52"/>
    <x v="0"/>
    <n v="3112"/>
    <m/>
    <d v="2018-11-01T00:00:00"/>
    <s v="Yes"/>
    <x v="5"/>
  </r>
  <r>
    <n v="8116"/>
    <x v="20"/>
    <x v="1"/>
    <n v="912"/>
    <m/>
    <d v="2018-11-04T00:00:00"/>
    <s v="Yes"/>
    <x v="5"/>
  </r>
  <r>
    <n v="8117"/>
    <x v="21"/>
    <x v="1"/>
    <n v="456"/>
    <m/>
    <d v="2018-11-04T00:00:00"/>
    <s v="Yes"/>
    <x v="5"/>
  </r>
  <r>
    <n v="8118"/>
    <x v="23"/>
    <x v="1"/>
    <n v="912"/>
    <m/>
    <d v="2018-11-04T00:00:00"/>
    <s v="Yes"/>
    <x v="5"/>
  </r>
  <r>
    <n v="8119"/>
    <x v="24"/>
    <x v="1"/>
    <n v="1368"/>
    <m/>
    <d v="2018-11-04T00:00:00"/>
    <s v="Yes"/>
    <x v="5"/>
  </r>
  <r>
    <n v="8120"/>
    <x v="25"/>
    <x v="1"/>
    <n v="1140"/>
    <m/>
    <d v="2018-11-04T00:00:00"/>
    <s v="Yes"/>
    <x v="5"/>
  </r>
  <r>
    <n v="8121"/>
    <x v="26"/>
    <x v="1"/>
    <n v="1368"/>
    <m/>
    <d v="2018-11-04T00:00:00"/>
    <s v="Yes"/>
    <x v="5"/>
  </r>
  <r>
    <n v="8122"/>
    <x v="27"/>
    <x v="1"/>
    <n v="912"/>
    <m/>
    <d v="2018-11-04T00:00:00"/>
    <s v="Yes"/>
    <x v="5"/>
  </r>
  <r>
    <n v="8123"/>
    <x v="9"/>
    <x v="2"/>
    <n v="1140"/>
    <m/>
    <d v="2018-11-04T00:00:00"/>
    <s v="Yes"/>
    <x v="5"/>
  </r>
  <r>
    <n v="8124"/>
    <x v="10"/>
    <x v="2"/>
    <n v="1140"/>
    <m/>
    <d v="2018-11-04T00:00:00"/>
    <s v="Yes"/>
    <x v="5"/>
  </r>
  <r>
    <n v="8125"/>
    <x v="11"/>
    <x v="2"/>
    <n v="1140"/>
    <m/>
    <d v="2018-03-28T00:00:00"/>
    <s v="Yes"/>
    <x v="5"/>
  </r>
  <r>
    <n v="8126"/>
    <x v="53"/>
    <x v="0"/>
    <n v="3890"/>
    <m/>
    <d v="2018-03-28T00:00:00"/>
    <s v="Yes"/>
    <x v="5"/>
  </r>
  <r>
    <n v="8127"/>
    <x v="54"/>
    <x v="0"/>
    <n v="4668"/>
    <m/>
    <d v="2018-03-28T00:00:00"/>
    <s v="Yes"/>
    <x v="5"/>
  </r>
  <r>
    <n v="8128"/>
    <x v="55"/>
    <x v="0"/>
    <n v="3890"/>
    <m/>
    <d v="2018-08-03T00:00:00"/>
    <s v="Yes"/>
    <x v="5"/>
  </r>
  <r>
    <n v="8129"/>
    <x v="56"/>
    <x v="0"/>
    <n v="7780"/>
    <m/>
    <d v="2018-08-03T00:00:00"/>
    <s v="Yes"/>
    <x v="5"/>
  </r>
  <r>
    <n v="8130"/>
    <x v="57"/>
    <x v="0"/>
    <n v="6224"/>
    <m/>
    <d v="2018-05-02T00:00:00"/>
    <s v="Yes"/>
    <x v="5"/>
  </r>
  <r>
    <n v="8131"/>
    <x v="58"/>
    <x v="0"/>
    <n v="778"/>
    <m/>
    <d v="2018-05-02T00:00:00"/>
    <s v="Yes"/>
    <x v="5"/>
  </r>
  <r>
    <n v="8132"/>
    <x v="28"/>
    <x v="1"/>
    <n v="456"/>
    <m/>
    <d v="2018-05-02T00:00:00"/>
    <s v="Yes"/>
    <x v="5"/>
  </r>
  <r>
    <n v="8133"/>
    <x v="29"/>
    <x v="1"/>
    <n v="1140"/>
    <m/>
    <d v="2018-05-02T00:00:00"/>
    <s v="Yes"/>
    <x v="5"/>
  </r>
  <r>
    <n v="8134"/>
    <x v="30"/>
    <x v="1"/>
    <n v="912"/>
    <m/>
    <d v="2018-05-02T00:00:00"/>
    <s v="Yes"/>
    <x v="5"/>
  </r>
  <r>
    <n v="8135"/>
    <x v="31"/>
    <x v="1"/>
    <n v="684"/>
    <m/>
    <d v="2018-05-02T00:00:00"/>
    <s v="Yes"/>
    <x v="5"/>
  </r>
  <r>
    <n v="8136"/>
    <x v="32"/>
    <x v="1"/>
    <n v="912"/>
    <m/>
    <d v="2018-05-02T00:00:00"/>
    <s v="Yes"/>
    <x v="5"/>
  </r>
  <r>
    <n v="8137"/>
    <x v="33"/>
    <x v="1"/>
    <n v="912"/>
    <m/>
    <d v="2018-05-02T00:00:00"/>
    <s v="Yes"/>
    <x v="5"/>
  </r>
  <r>
    <n v="8138"/>
    <x v="59"/>
    <x v="1"/>
    <n v="456"/>
    <m/>
    <d v="2018-05-02T00:00:00"/>
    <s v="Yes"/>
    <x v="5"/>
  </r>
  <r>
    <n v="8139"/>
    <x v="35"/>
    <x v="1"/>
    <n v="912"/>
    <m/>
    <d v="2018-05-02T00:00:00"/>
    <s v="Yes"/>
    <x v="5"/>
  </r>
  <r>
    <n v="8140"/>
    <x v="36"/>
    <x v="1"/>
    <n v="912"/>
    <m/>
    <d v="2018-05-02T00:00:00"/>
    <s v="Yes"/>
    <x v="5"/>
  </r>
  <r>
    <n v="8141"/>
    <x v="60"/>
    <x v="0"/>
    <n v="3112"/>
    <m/>
    <d v="2018-05-02T00:00:00"/>
    <s v="Yes"/>
    <x v="5"/>
  </r>
  <r>
    <n v="8142"/>
    <x v="61"/>
    <x v="0"/>
    <n v="15560"/>
    <m/>
    <d v="2018-10-29T00:00:00"/>
    <s v="Yes"/>
    <x v="5"/>
  </r>
  <r>
    <n v="8143"/>
    <x v="62"/>
    <x v="0"/>
    <n v="6224"/>
    <m/>
    <d v="2018-04-11T00:00:00"/>
    <s v="Yes"/>
    <x v="5"/>
  </r>
  <r>
    <n v="8144"/>
    <x v="63"/>
    <x v="0"/>
    <n v="4668"/>
    <m/>
    <d v="2018-11-28T00:00:00"/>
    <s v="Yes"/>
    <x v="5"/>
  </r>
  <r>
    <n v="8145"/>
    <x v="37"/>
    <x v="1"/>
    <n v="1368"/>
    <m/>
    <d v="2018-04-12T00:00:00"/>
    <s v="Yes"/>
    <x v="5"/>
  </r>
  <r>
    <n v="8147"/>
    <x v="12"/>
    <x v="2"/>
    <n v="1140"/>
    <m/>
    <d v="2018-04-12T00:00:00"/>
    <s v="Yes"/>
    <x v="5"/>
  </r>
  <r>
    <n v="8148"/>
    <x v="13"/>
    <x v="2"/>
    <n v="1368"/>
    <m/>
    <d v="2018-04-12T00:00:00"/>
    <s v="Yes"/>
    <x v="5"/>
  </r>
  <r>
    <n v="8149"/>
    <x v="14"/>
    <x v="2"/>
    <n v="912"/>
    <m/>
    <d v="2018-04-12T00:00:00"/>
    <s v="Yes"/>
    <x v="5"/>
  </r>
  <r>
    <n v="8151"/>
    <x v="16"/>
    <x v="2"/>
    <n v="1596"/>
    <m/>
    <d v="2018-04-12T00:00:00"/>
    <s v="Yes"/>
    <x v="5"/>
  </r>
  <r>
    <n v="8152"/>
    <x v="17"/>
    <x v="2"/>
    <n v="1140"/>
    <m/>
    <d v="2018-04-12T00:00:00"/>
    <s v="Yes"/>
    <x v="5"/>
  </r>
  <r>
    <n v="8153"/>
    <x v="18"/>
    <x v="2"/>
    <n v="228"/>
    <m/>
    <d v="2018-04-12T00:00:00"/>
    <s v="Yes"/>
    <x v="5"/>
  </r>
  <r>
    <n v="8154"/>
    <x v="64"/>
    <x v="0"/>
    <n v="3112"/>
    <m/>
    <d v="2018-11-28T00:00:00"/>
    <s v="Yes"/>
    <x v="5"/>
  </r>
  <r>
    <n v="8155"/>
    <x v="65"/>
    <x v="0"/>
    <n v="3112"/>
    <m/>
    <d v="2018-04-12T00:00:00"/>
    <s v="Yes"/>
    <x v="5"/>
  </r>
  <r>
    <n v="8156"/>
    <x v="66"/>
    <x v="0"/>
    <n v="5446"/>
    <m/>
    <d v="2018-04-12T00:00:00"/>
    <s v="Yes"/>
    <x v="5"/>
  </r>
  <r>
    <n v="8157"/>
    <x v="67"/>
    <x v="0"/>
    <n v="6224"/>
    <m/>
    <d v="2018-04-12T00:00:00"/>
    <s v="Yes"/>
    <x v="5"/>
  </r>
  <r>
    <n v="8158"/>
    <x v="68"/>
    <x v="0"/>
    <n v="3112"/>
    <m/>
    <d v="2018-04-12T00:00:00"/>
    <s v="Yes"/>
    <x v="5"/>
  </r>
  <r>
    <n v="8159"/>
    <x v="69"/>
    <x v="0"/>
    <n v="1400"/>
    <m/>
    <d v="2018-04-12T00:00:00"/>
    <s v="Yes"/>
    <x v="5"/>
  </r>
  <r>
    <n v="8160"/>
    <x v="70"/>
    <x v="0"/>
    <n v="3112"/>
    <m/>
    <d v="2018-04-12T00:00:00"/>
    <s v="Yes"/>
    <x v="5"/>
  </r>
  <r>
    <n v="8161"/>
    <x v="39"/>
    <x v="1"/>
    <n v="684"/>
    <m/>
    <d v="2018-04-12T00:00:00"/>
    <s v="Yes"/>
    <x v="5"/>
  </r>
  <r>
    <n v="8163"/>
    <x v="40"/>
    <x v="1"/>
    <n v="912"/>
    <m/>
    <d v="2018-04-12T00:00:00"/>
    <s v="Yes"/>
    <x v="5"/>
  </r>
  <r>
    <n v="8164"/>
    <x v="41"/>
    <x v="1"/>
    <n v="1368"/>
    <m/>
    <d v="2018-04-12T00:00:00"/>
    <s v="Yes"/>
    <x v="5"/>
  </r>
  <r>
    <n v="8166"/>
    <x v="43"/>
    <x v="1"/>
    <n v="912"/>
    <m/>
    <d v="2018-04-12T00:00:00"/>
    <s v="Yes"/>
    <x v="5"/>
  </r>
  <r>
    <n v="8167"/>
    <x v="6"/>
    <x v="4"/>
    <n v="1368"/>
    <m/>
    <d v="2018-04-12T00:00:00"/>
    <s v="Yes"/>
    <x v="5"/>
  </r>
  <r>
    <n v="8168"/>
    <x v="71"/>
    <x v="0"/>
    <n v="1400"/>
    <m/>
    <d v="2018-04-12T00:00:00"/>
    <s v="Yes"/>
    <x v="5"/>
  </r>
  <r>
    <n v="8169"/>
    <x v="72"/>
    <x v="0"/>
    <n v="1400"/>
    <m/>
    <d v="2018-04-12T00:00:00"/>
    <s v="Yes"/>
    <x v="5"/>
  </r>
  <r>
    <n v="8170"/>
    <x v="44"/>
    <x v="1"/>
    <n v="1596"/>
    <m/>
    <d v="2018-04-12T00:00:00"/>
    <s v="Yes"/>
    <x v="5"/>
  </r>
  <r>
    <n v="8171"/>
    <x v="45"/>
    <x v="1"/>
    <n v="1140"/>
    <m/>
    <d v="2018-04-12T00:00:00"/>
    <s v="Yes"/>
    <x v="5"/>
  </r>
  <r>
    <n v="8172"/>
    <x v="27"/>
    <x v="2"/>
    <n v="912"/>
    <m/>
    <d v="2018-04-12T00:00:00"/>
    <s v="Yes"/>
    <x v="5"/>
  </r>
  <r>
    <n v="8174"/>
    <x v="25"/>
    <x v="2"/>
    <n v="1140"/>
    <m/>
    <d v="2018-04-12T00:00:00"/>
    <s v="Yes"/>
    <x v="5"/>
  </r>
  <r>
    <n v="8176"/>
    <x v="23"/>
    <x v="2"/>
    <n v="912"/>
    <m/>
    <d v="2018-04-12T00:00:00"/>
    <s v="Yes"/>
    <x v="5"/>
  </r>
  <r>
    <n v="8178"/>
    <x v="20"/>
    <x v="2"/>
    <n v="912"/>
    <m/>
    <d v="2018-04-12T00:00:00"/>
    <s v="Yes"/>
    <x v="5"/>
  </r>
  <r>
    <n v="8179"/>
    <x v="19"/>
    <x v="2"/>
    <n v="912"/>
    <m/>
    <d v="2018-04-12T00:00:00"/>
    <s v="Yes"/>
    <x v="5"/>
  </r>
  <r>
    <n v="8180"/>
    <x v="21"/>
    <x v="2"/>
    <n v="456"/>
    <m/>
    <d v="2018-04-12T00:00:00"/>
    <s v="Yes"/>
    <x v="5"/>
  </r>
  <r>
    <n v="8181"/>
    <x v="46"/>
    <x v="1"/>
    <n v="912"/>
    <m/>
    <d v="2018-04-12T00:00:00"/>
    <s v="Yes"/>
    <x v="5"/>
  </r>
  <r>
    <n v="8182"/>
    <x v="47"/>
    <x v="1"/>
    <n v="3648"/>
    <m/>
    <d v="2018-04-12T00:00:00"/>
    <s v="Yes"/>
    <x v="5"/>
  </r>
  <r>
    <n v="8183"/>
    <x v="48"/>
    <x v="1"/>
    <n v="2280"/>
    <m/>
    <d v="2018-04-12T00:00:00"/>
    <s v="Yes"/>
    <x v="5"/>
  </r>
  <r>
    <n v="8184"/>
    <x v="50"/>
    <x v="1"/>
    <n v="684"/>
    <m/>
    <d v="2018-04-12T00:00:00"/>
    <s v="Yes"/>
    <x v="5"/>
  </r>
  <r>
    <n v="8185"/>
    <x v="51"/>
    <x v="1"/>
    <n v="912"/>
    <m/>
    <d v="2018-04-12T00:00:00"/>
    <s v="Yes"/>
    <x v="5"/>
  </r>
  <r>
    <n v="8186"/>
    <x v="52"/>
    <x v="1"/>
    <n v="912"/>
    <m/>
    <d v="2018-04-12T00:00:00"/>
    <s v="Yes"/>
    <x v="5"/>
  </r>
  <r>
    <n v="8187"/>
    <x v="73"/>
    <x v="0"/>
    <n v="3890"/>
    <m/>
    <d v="2019-10-01T00:00:00"/>
    <s v="Yes"/>
    <x v="6"/>
  </r>
  <r>
    <n v="8188"/>
    <x v="9"/>
    <x v="4"/>
    <n v="1140"/>
    <m/>
    <d v="2019-10-01T00:00:00"/>
    <s v="Yes"/>
    <x v="6"/>
  </r>
  <r>
    <n v="8189"/>
    <x v="10"/>
    <x v="4"/>
    <n v="1140"/>
    <m/>
    <d v="2018-04-12T00:00:00"/>
    <s v="Yes"/>
    <x v="5"/>
  </r>
  <r>
    <n v="8190"/>
    <x v="53"/>
    <x v="1"/>
    <n v="1140"/>
    <m/>
    <d v="2018-04-12T00:00:00"/>
    <s v="Yes"/>
    <x v="5"/>
  </r>
  <r>
    <n v="8191"/>
    <x v="54"/>
    <x v="1"/>
    <n v="1368"/>
    <m/>
    <d v="2019-02-25T00:00:00"/>
    <s v="Yes"/>
    <x v="6"/>
  </r>
  <r>
    <n v="8192"/>
    <x v="55"/>
    <x v="1"/>
    <n v="1140"/>
    <m/>
    <d v="2019-02-25T00:00:00"/>
    <s v="Yes"/>
    <x v="6"/>
  </r>
  <r>
    <n v="8193"/>
    <x v="56"/>
    <x v="1"/>
    <n v="2280"/>
    <m/>
    <d v="2018-04-12T00:00:00"/>
    <s v="Yes"/>
    <x v="5"/>
  </r>
  <r>
    <n v="8194"/>
    <x v="57"/>
    <x v="1"/>
    <n v="1824"/>
    <m/>
    <d v="2018-04-12T00:00:00"/>
    <s v="Yes"/>
    <x v="5"/>
  </r>
  <r>
    <n v="8195"/>
    <x v="60"/>
    <x v="1"/>
    <n v="912"/>
    <m/>
    <d v="2018-04-12T00:00:00"/>
    <s v="Yes"/>
    <x v="5"/>
  </r>
  <r>
    <n v="8196"/>
    <x v="58"/>
    <x v="1"/>
    <n v="228"/>
    <m/>
    <d v="2019-02-25T00:00:00"/>
    <s v="Yes"/>
    <x v="6"/>
  </r>
  <r>
    <n v="8197"/>
    <x v="11"/>
    <x v="4"/>
    <n v="1140"/>
    <m/>
    <d v="2019-10-01T00:00:00"/>
    <s v="Yes"/>
    <x v="6"/>
  </r>
  <r>
    <n v="8198"/>
    <x v="49"/>
    <x v="1"/>
    <n v="912"/>
    <m/>
    <d v="2019-10-01T00:00:00"/>
    <s v="Yes"/>
    <x v="6"/>
  </r>
  <r>
    <n v="8199"/>
    <x v="4"/>
    <x v="3"/>
    <n v="1596"/>
    <m/>
    <d v="2019-10-01T00:00:00"/>
    <s v="Yes"/>
    <x v="6"/>
  </r>
  <r>
    <n v="8200"/>
    <x v="5"/>
    <x v="3"/>
    <n v="912"/>
    <m/>
    <d v="2019-02-25T00:00:00"/>
    <s v="Yes"/>
    <x v="6"/>
  </r>
  <r>
    <n v="8202"/>
    <x v="7"/>
    <x v="4"/>
    <n v="1140"/>
    <m/>
    <d v="2019-02-25T00:00:00"/>
    <s v="Yes"/>
    <x v="6"/>
  </r>
  <r>
    <n v="8203"/>
    <x v="28"/>
    <x v="2"/>
    <n v="458"/>
    <m/>
    <d v="2019-02-25T00:00:00"/>
    <s v="Yes"/>
    <x v="6"/>
  </r>
  <r>
    <n v="8204"/>
    <x v="29"/>
    <x v="2"/>
    <n v="1140"/>
    <m/>
    <d v="2019-02-25T00:00:00"/>
    <s v="Yes"/>
    <x v="6"/>
  </r>
  <r>
    <n v="8205"/>
    <x v="30"/>
    <x v="2"/>
    <n v="912"/>
    <m/>
    <d v="2019-02-25T00:00:00"/>
    <s v="Yes"/>
    <x v="6"/>
  </r>
  <r>
    <n v="8207"/>
    <x v="32"/>
    <x v="2"/>
    <n v="912"/>
    <m/>
    <d v="2019-02-25T00:00:00"/>
    <s v="Yes"/>
    <x v="6"/>
  </r>
  <r>
    <n v="8208"/>
    <x v="33"/>
    <x v="2"/>
    <n v="912"/>
    <m/>
    <d v="2019-02-25T00:00:00"/>
    <s v="Yes"/>
    <x v="6"/>
  </r>
  <r>
    <n v="8209"/>
    <x v="59"/>
    <x v="2"/>
    <n v="456"/>
    <m/>
    <d v="2019-10-01T00:00:00"/>
    <s v="Yes"/>
    <x v="6"/>
  </r>
  <r>
    <n v="8210"/>
    <x v="35"/>
    <x v="2"/>
    <n v="912"/>
    <m/>
    <d v="2019-10-01T00:00:00"/>
    <s v="Yes"/>
    <x v="6"/>
  </r>
  <r>
    <n v="8211"/>
    <x v="36"/>
    <x v="2"/>
    <n v="912"/>
    <m/>
    <d v="2019-10-01T00:00:00"/>
    <s v="Yes"/>
    <x v="6"/>
  </r>
  <r>
    <n v="8212"/>
    <x v="37"/>
    <x v="2"/>
    <n v="1368"/>
    <m/>
    <d v="2019-02-25T00:00:00"/>
    <s v="Yes"/>
    <x v="6"/>
  </r>
  <r>
    <n v="8213"/>
    <x v="12"/>
    <x v="4"/>
    <n v="1140"/>
    <m/>
    <d v="2019-02-25T00:00:00"/>
    <s v="Yes"/>
    <x v="6"/>
  </r>
  <r>
    <n v="8214"/>
    <x v="13"/>
    <x v="4"/>
    <n v="1140"/>
    <m/>
    <d v="2019-10-01T00:00:00"/>
    <s v="Yes"/>
    <x v="6"/>
  </r>
  <r>
    <n v="8215"/>
    <x v="74"/>
    <x v="0"/>
    <n v="3112"/>
    <m/>
    <d v="2019-02-25T00:00:00"/>
    <s v="Yes"/>
    <x v="6"/>
  </r>
  <r>
    <n v="8216"/>
    <x v="75"/>
    <x v="0"/>
    <n v="3112"/>
    <m/>
    <d v="2019-10-01T00:00:00"/>
    <s v="Yes"/>
    <x v="6"/>
  </r>
  <r>
    <n v="8217"/>
    <x v="76"/>
    <x v="0"/>
    <n v="2334"/>
    <m/>
    <d v="2019-10-01T00:00:00"/>
    <s v="Yes"/>
    <x v="6"/>
  </r>
  <r>
    <n v="8218"/>
    <x v="77"/>
    <x v="0"/>
    <n v="3112"/>
    <m/>
    <d v="2019-10-01T00:00:00"/>
    <s v="Yes"/>
    <x v="6"/>
  </r>
  <r>
    <n v="8219"/>
    <x v="78"/>
    <x v="0"/>
    <n v="778"/>
    <m/>
    <d v="2019-02-25T00:00:00"/>
    <s v="Yes"/>
    <x v="6"/>
  </r>
  <r>
    <n v="8220"/>
    <x v="79"/>
    <x v="0"/>
    <n v="3112"/>
    <m/>
    <d v="2020-06-01T00:00:00"/>
    <s v="Yes"/>
    <x v="7"/>
  </r>
  <r>
    <n v="8221"/>
    <x v="80"/>
    <x v="0"/>
    <n v="3112"/>
    <m/>
    <d v="2020-06-01T00:00:00"/>
    <s v="Yes"/>
    <x v="7"/>
  </r>
  <r>
    <n v="8222"/>
    <x v="81"/>
    <x v="0"/>
    <n v="3112"/>
    <m/>
    <d v="2020-06-01T00:00:00"/>
    <s v="Yes"/>
    <x v="7"/>
  </r>
  <r>
    <n v="8223"/>
    <x v="82"/>
    <x v="0"/>
    <n v="6224"/>
    <m/>
    <d v="2020-06-01T00:00:00"/>
    <s v="Yes"/>
    <x v="7"/>
  </r>
  <r>
    <n v="8229"/>
    <x v="18"/>
    <x v="4"/>
    <n v="228"/>
    <m/>
    <d v="2020-06-01T00:00:00"/>
    <s v="Yes"/>
    <x v="7"/>
  </r>
  <r>
    <n v="8230"/>
    <x v="61"/>
    <x v="1"/>
    <n v="4560"/>
    <m/>
    <d v="2020-06-01T00:00:00"/>
    <s v="Yes"/>
    <x v="7"/>
  </r>
  <r>
    <n v="8231"/>
    <x v="83"/>
    <x v="0"/>
    <n v="3112"/>
    <m/>
    <d v="2020-06-01T00:00:00"/>
    <s v="Yes"/>
    <x v="7"/>
  </r>
  <r>
    <n v="8233"/>
    <x v="62"/>
    <x v="1"/>
    <n v="1824"/>
    <m/>
    <d v="2020-06-01T00:00:00"/>
    <s v="Yes"/>
    <x v="7"/>
  </r>
  <r>
    <n v="8236"/>
    <x v="66"/>
    <x v="1"/>
    <n v="1596"/>
    <m/>
    <d v="2020-06-01T00:00:00"/>
    <s v="Yes"/>
    <x v="7"/>
  </r>
  <r>
    <n v="8239"/>
    <x v="68"/>
    <x v="1"/>
    <n v="912"/>
    <m/>
    <d v="2020-06-01T00:00:00"/>
    <s v="Yes"/>
    <x v="7"/>
  </r>
  <r>
    <n v="8247"/>
    <x v="44"/>
    <x v="2"/>
    <n v="1368"/>
    <m/>
    <d v="2020-06-01T00:00:00"/>
    <s v="Yes"/>
    <x v="7"/>
  </r>
  <r>
    <n v="8252"/>
    <x v="48"/>
    <x v="2"/>
    <n v="2280"/>
    <m/>
    <d v="2020-06-01T00:00:00"/>
    <s v="Yes"/>
    <x v="7"/>
  </r>
  <r>
    <n v="8259"/>
    <x v="27"/>
    <x v="4"/>
    <n v="912"/>
    <m/>
    <d v="2020-06-01T00:00:00"/>
    <s v="Yes"/>
    <x v="7"/>
  </r>
  <r>
    <n v="8260"/>
    <x v="84"/>
    <x v="0"/>
    <n v="10892"/>
    <m/>
    <d v="2020-06-01T00:00:00"/>
    <s v="Yes"/>
    <x v="7"/>
  </r>
  <r>
    <n v="8261"/>
    <x v="85"/>
    <x v="0"/>
    <n v="8558"/>
    <m/>
    <d v="2020-04-05T00:00:00"/>
    <s v="Yes"/>
    <x v="7"/>
  </r>
  <r>
    <n v="8262"/>
    <x v="86"/>
    <x v="0"/>
    <n v="3112"/>
    <m/>
    <d v="2020-04-05T00:00:00"/>
    <s v="Yes"/>
    <x v="7"/>
  </r>
  <r>
    <n v="8263"/>
    <x v="82"/>
    <x v="1"/>
    <n v="1824"/>
    <m/>
    <d v="2020-04-05T00:00:00"/>
    <s v="Yes"/>
    <x v="7"/>
  </r>
  <r>
    <n v="8264"/>
    <x v="81"/>
    <x v="1"/>
    <n v="912"/>
    <m/>
    <d v="2020-04-05T00:00:00"/>
    <s v="Yes"/>
    <x v="7"/>
  </r>
  <r>
    <n v="8266"/>
    <x v="79"/>
    <x v="1"/>
    <n v="912"/>
    <m/>
    <d v="2020-04-05T00:00:00"/>
    <s v="Yes"/>
    <x v="7"/>
  </r>
  <r>
    <n v="8267"/>
    <x v="87"/>
    <x v="1"/>
    <n v="228"/>
    <m/>
    <d v="2020-04-05T00:00:00"/>
    <s v="Yes"/>
    <x v="7"/>
  </r>
  <r>
    <n v="8268"/>
    <x v="29"/>
    <x v="4"/>
    <n v="1140"/>
    <m/>
    <d v="2020-04-05T00:00:00"/>
    <s v="Yes"/>
    <x v="7"/>
  </r>
  <r>
    <n v="8269"/>
    <x v="88"/>
    <x v="0"/>
    <n v="6224"/>
    <m/>
    <d v="2020-01-06T00:00:00"/>
    <s v="Yes"/>
    <x v="7"/>
  </r>
  <r>
    <n v="8270"/>
    <x v="89"/>
    <x v="0"/>
    <n v="9336"/>
    <m/>
    <d v="2020-09-21T00:00:00"/>
    <s v="Yes"/>
    <x v="7"/>
  </r>
  <r>
    <n v="8271"/>
    <x v="61"/>
    <x v="2"/>
    <n v="4560"/>
    <m/>
    <d v="2020-10-13T00:00:00"/>
    <s v="Yes"/>
    <x v="7"/>
  </r>
  <r>
    <n v="8272"/>
    <x v="62"/>
    <x v="2"/>
    <n v="1824"/>
    <m/>
    <d v="2020-01-06T00:00:00"/>
    <s v="Yes"/>
    <x v="7"/>
  </r>
  <r>
    <n v="8273"/>
    <x v="66"/>
    <x v="2"/>
    <n v="1596"/>
    <m/>
    <d v="2020-10-13T00:00:00"/>
    <s v="Yes"/>
    <x v="7"/>
  </r>
  <r>
    <n v="8274"/>
    <x v="68"/>
    <x v="2"/>
    <n v="912"/>
    <m/>
    <d v="2020-01-06T00:00:00"/>
    <s v="Yes"/>
    <x v="7"/>
  </r>
  <r>
    <n v="8275"/>
    <x v="18"/>
    <x v="0"/>
    <n v="6224"/>
    <m/>
    <d v="2020-11-30T00:00:00"/>
    <s v="Yes"/>
    <x v="7"/>
  </r>
  <r>
    <n v="8276"/>
    <x v="44"/>
    <x v="4"/>
    <n v="1368"/>
    <m/>
    <d v="2020-07-29T00:00:00"/>
    <s v="Yes"/>
    <x v="7"/>
  </r>
  <r>
    <n v="8277"/>
    <x v="84"/>
    <x v="1"/>
    <n v="3192"/>
    <m/>
    <d v="2020-07-29T00:00:00"/>
    <s v="Yes"/>
    <x v="7"/>
  </r>
  <r>
    <n v="8278"/>
    <x v="4"/>
    <x v="0"/>
    <n v="1750"/>
    <m/>
    <d v="2020-07-29T00:00:00"/>
    <s v="Yes"/>
    <x v="7"/>
  </r>
  <r>
    <n v="8281"/>
    <x v="50"/>
    <x v="2"/>
    <n v="684"/>
    <m/>
    <d v="2020-07-29T00:00:00"/>
    <s v="Yes"/>
    <x v="7"/>
  </r>
  <r>
    <n v="8282"/>
    <x v="37"/>
    <x v="4"/>
    <n v="1368"/>
    <m/>
    <d v="2020-07-29T00:00:00"/>
    <s v="Yes"/>
    <x v="7"/>
  </r>
  <r>
    <n v="8283"/>
    <x v="16"/>
    <x v="3"/>
    <n v="1463"/>
    <m/>
    <d v="2020-07-29T00:00:00"/>
    <s v="Yes"/>
    <x v="7"/>
  </r>
  <r>
    <n v="8284"/>
    <x v="60"/>
    <x v="2"/>
    <n v="912"/>
    <m/>
    <d v="2022-07-27T00:00:00"/>
    <s v="Yes"/>
    <x v="8"/>
  </r>
  <r>
    <n v="8285"/>
    <x v="9"/>
    <x v="3"/>
    <n v="665"/>
    <m/>
    <d v="2020-07-29T00:00:00"/>
    <s v="Yes"/>
    <x v="7"/>
  </r>
  <r>
    <n v="8286"/>
    <x v="25"/>
    <x v="3"/>
    <n v="855"/>
    <m/>
    <d v="2020-07-29T00:00:00"/>
    <s v="Yes"/>
    <x v="7"/>
  </r>
  <r>
    <n v="8287"/>
    <x v="39"/>
    <x v="3"/>
    <n v="684"/>
    <m/>
    <d v="2022-07-27T00:00:00"/>
    <s v="Yes"/>
    <x v="8"/>
  </r>
  <r>
    <n v="8288"/>
    <x v="31"/>
    <x v="4"/>
    <n v="684"/>
    <m/>
    <d v="2022-07-27T00:00:00"/>
    <s v="Yes"/>
    <x v="8"/>
  </r>
  <r>
    <n v="8289"/>
    <x v="35"/>
    <x v="4"/>
    <n v="912"/>
    <m/>
    <d v="2022-07-27T00:00:00"/>
    <s v="Yes"/>
    <x v="8"/>
  </r>
  <r>
    <n v="8290"/>
    <x v="73"/>
    <x v="2"/>
    <n v="380"/>
    <m/>
    <d v="2020-10-13T00:00:00"/>
    <s v="Yes"/>
    <x v="7"/>
  </r>
  <r>
    <n v="8291"/>
    <x v="74"/>
    <x v="2"/>
    <n v="304"/>
    <m/>
    <d v="2020-10-13T00:00:00"/>
    <s v="Yes"/>
    <x v="7"/>
  </r>
  <r>
    <n v="8292"/>
    <x v="57"/>
    <x v="4"/>
    <n v="608"/>
    <m/>
    <d v="2020-10-13T00:00:00"/>
    <s v="Yes"/>
    <x v="7"/>
  </r>
  <r>
    <n v="8293"/>
    <x v="53"/>
    <x v="4"/>
    <n v="380"/>
    <m/>
    <d v="2020-10-13T00:00:00"/>
    <s v="Yes"/>
    <x v="7"/>
  </r>
  <r>
    <n v="8294"/>
    <x v="55"/>
    <x v="4"/>
    <n v="380"/>
    <m/>
    <d v="2020-10-13T00:00:00"/>
    <s v="Yes"/>
    <x v="7"/>
  </r>
  <r>
    <n v="8295"/>
    <x v="54"/>
    <x v="4"/>
    <n v="456"/>
    <m/>
    <d v="2020-10-13T00:00:00"/>
    <s v="Yes"/>
    <x v="7"/>
  </r>
  <r>
    <n v="8296"/>
    <x v="26"/>
    <x v="3"/>
    <n v="456"/>
    <m/>
    <d v="2020-10-13T00:00:00"/>
    <s v="Yes"/>
    <x v="7"/>
  </r>
  <r>
    <n v="8297"/>
    <x v="63"/>
    <x v="2"/>
    <n v="456"/>
    <m/>
    <d v="2022-07-27T00:00:00"/>
    <s v="Yes"/>
    <x v="8"/>
  </r>
  <r>
    <n v="8298"/>
    <x v="90"/>
    <x v="2"/>
    <n v="760"/>
    <m/>
    <d v="2020-01-10T00:00:00"/>
    <s v="Yes"/>
    <x v="7"/>
  </r>
  <r>
    <n v="8299"/>
    <x v="51"/>
    <x v="4"/>
    <n v="304"/>
    <m/>
    <d v="2020-06-11T00:00:00"/>
    <s v="Yes"/>
    <x v="7"/>
  </r>
  <r>
    <n v="8300"/>
    <x v="25"/>
    <x v="4"/>
    <n v="1050"/>
    <m/>
    <d v="2020-06-11T00:00:00"/>
    <s v="Yes"/>
    <x v="7"/>
  </r>
  <r>
    <n v="8301"/>
    <x v="91"/>
    <x v="0"/>
    <n v="17116"/>
    <m/>
    <d v="2020-12-29T00:00:00"/>
    <s v="Yes"/>
    <x v="7"/>
  </r>
  <r>
    <n v="8302"/>
    <x v="92"/>
    <x v="0"/>
    <n v="1556"/>
    <m/>
    <d v="2020-06-11T00:00:00"/>
    <s v="Yes"/>
    <x v="7"/>
  </r>
  <r>
    <n v="8303"/>
    <x v="47"/>
    <x v="4"/>
    <n v="3648"/>
    <m/>
    <d v="2020-06-11T00:00:00"/>
    <s v="Yes"/>
    <x v="7"/>
  </r>
  <r>
    <n v="8304"/>
    <x v="48"/>
    <x v="4"/>
    <n v="2280"/>
    <m/>
    <d v="2020-06-11T00:00:00"/>
    <s v="Yes"/>
    <x v="7"/>
  </r>
  <r>
    <n v="8305"/>
    <x v="65"/>
    <x v="4"/>
    <n v="912"/>
    <m/>
    <d v="2020-06-11T00:00:00"/>
    <s v="Yes"/>
    <x v="7"/>
  </r>
  <r>
    <n v="8307"/>
    <x v="32"/>
    <x v="4"/>
    <n v="912"/>
    <m/>
    <d v="2020-11-30T00:00:00"/>
    <s v="Yes"/>
    <x v="7"/>
  </r>
  <r>
    <n v="8308"/>
    <x v="73"/>
    <x v="2"/>
    <n v="1140"/>
    <m/>
    <d v="2020-11-30T00:00:00"/>
    <s v="Yes"/>
    <x v="7"/>
  </r>
  <r>
    <n v="8309"/>
    <x v="74"/>
    <x v="2"/>
    <n v="912"/>
    <m/>
    <d v="2021-03-07T00:00:00"/>
    <s v="Yes"/>
    <x v="9"/>
  </r>
  <r>
    <n v="8310"/>
    <x v="57"/>
    <x v="4"/>
    <n v="1824"/>
    <m/>
    <d v="2020-11-30T00:00:00"/>
    <s v="Yes"/>
    <x v="7"/>
  </r>
  <r>
    <n v="8311"/>
    <x v="53"/>
    <x v="4"/>
    <n v="1140"/>
    <m/>
    <d v="2021-03-07T00:00:00"/>
    <s v="Yes"/>
    <x v="9"/>
  </r>
  <r>
    <n v="8312"/>
    <x v="55"/>
    <x v="4"/>
    <n v="1140"/>
    <m/>
    <d v="2021-03-07T00:00:00"/>
    <s v="Yes"/>
    <x v="9"/>
  </r>
  <r>
    <n v="8313"/>
    <x v="54"/>
    <x v="4"/>
    <n v="1026"/>
    <m/>
    <d v="2022-07-27T00:00:00"/>
    <s v="Yes"/>
    <x v="8"/>
  </r>
  <r>
    <n v="8314"/>
    <x v="26"/>
    <x v="3"/>
    <n v="1368"/>
    <m/>
    <d v="2021-03-07T00:00:00"/>
    <s v="Yes"/>
    <x v="9"/>
  </r>
  <r>
    <n v="8315"/>
    <x v="63"/>
    <x v="3"/>
    <n v="1368"/>
    <m/>
    <d v="2021-03-07T00:00:00"/>
    <s v="Yes"/>
    <x v="9"/>
  </r>
  <r>
    <n v="8316"/>
    <x v="93"/>
    <x v="4"/>
    <n v="2280"/>
    <m/>
    <d v="2021-03-07T00:00:00"/>
    <s v="Yes"/>
    <x v="9"/>
  </r>
  <r>
    <n v="8317"/>
    <x v="51"/>
    <x v="3"/>
    <n v="912"/>
    <m/>
    <d v="2021-03-07T00:00:00"/>
    <s v="Yes"/>
    <x v="9"/>
  </r>
  <r>
    <n v="8318"/>
    <x v="94"/>
    <x v="0"/>
    <n v="3890"/>
    <m/>
    <d v="2021-03-07T00:00:00"/>
    <s v="Yes"/>
    <x v="9"/>
  </r>
  <r>
    <n v="8319"/>
    <x v="95"/>
    <x v="0"/>
    <n v="5446"/>
    <m/>
    <d v="2021-03-07T00:00:00"/>
    <s v="Yes"/>
    <x v="9"/>
  </r>
  <r>
    <n v="8320"/>
    <x v="96"/>
    <x v="0"/>
    <n v="2312"/>
    <m/>
    <d v="2021-03-07T00:00:00"/>
    <s v="Yes"/>
    <x v="9"/>
  </r>
  <r>
    <n v="8321"/>
    <x v="97"/>
    <x v="1"/>
    <n v="912"/>
    <m/>
    <d v="2021-03-07T00:00:00"/>
    <s v="Yes"/>
    <x v="9"/>
  </r>
  <r>
    <n v="8322"/>
    <x v="85"/>
    <x v="1"/>
    <n v="2508"/>
    <m/>
    <d v="2021-03-07T00:00:00"/>
    <s v="Yes"/>
    <x v="9"/>
  </r>
  <r>
    <n v="8323"/>
    <x v="83"/>
    <x v="1"/>
    <n v="912"/>
    <m/>
    <d v="2021-03-07T00:00:00"/>
    <s v="Yes"/>
    <x v="9"/>
  </r>
  <r>
    <n v="8324"/>
    <x v="82"/>
    <x v="2"/>
    <n v="1824"/>
    <m/>
    <d v="2021-03-07T00:00:00"/>
    <s v="Yes"/>
    <x v="9"/>
  </r>
  <r>
    <n v="8325"/>
    <x v="81"/>
    <x v="2"/>
    <n v="912"/>
    <m/>
    <d v="2021-03-07T00:00:00"/>
    <s v="Yes"/>
    <x v="9"/>
  </r>
  <r>
    <n v="8326"/>
    <x v="80"/>
    <x v="2"/>
    <n v="912"/>
    <m/>
    <d v="2021-03-07T00:00:00"/>
    <s v="Yes"/>
    <x v="9"/>
  </r>
  <r>
    <n v="8327"/>
    <x v="79"/>
    <x v="2"/>
    <n v="912"/>
    <m/>
    <d v="2021-03-07T00:00:00"/>
    <s v="Yes"/>
    <x v="9"/>
  </r>
  <r>
    <n v="8328"/>
    <x v="78"/>
    <x v="3"/>
    <n v="228"/>
    <m/>
    <d v="2021-03-07T00:00:00"/>
    <s v="Yes"/>
    <x v="9"/>
  </r>
  <r>
    <n v="8329"/>
    <x v="29"/>
    <x v="3"/>
    <n v="1140"/>
    <m/>
    <d v="2021-03-07T00:00:00"/>
    <s v="Yes"/>
    <x v="9"/>
  </r>
  <r>
    <n v="8330"/>
    <x v="98"/>
    <x v="0"/>
    <n v="5446"/>
    <m/>
    <d v="2021-03-07T00:00:00"/>
    <s v="Yes"/>
    <x v="9"/>
  </r>
  <r>
    <n v="8331"/>
    <x v="99"/>
    <x v="0"/>
    <n v="3112"/>
    <m/>
    <d v="2021-03-07T00:00:00"/>
    <s v="Yes"/>
    <x v="9"/>
  </r>
  <r>
    <n v="8332"/>
    <x v="100"/>
    <x v="0"/>
    <n v="2334"/>
    <m/>
    <d v="2021-03-07T00:00:00"/>
    <s v="Yes"/>
    <x v="9"/>
  </r>
  <r>
    <n v="8333"/>
    <x v="101"/>
    <x v="0"/>
    <n v="4668"/>
    <m/>
    <d v="2021-04-28T00:00:00"/>
    <s v="Yes"/>
    <x v="9"/>
  </r>
  <r>
    <n v="8334"/>
    <x v="87"/>
    <x v="0"/>
    <n v="4668"/>
    <m/>
    <d v="2021-12-05T00:00:00"/>
    <s v="Yes"/>
    <x v="9"/>
  </r>
  <r>
    <n v="8336"/>
    <x v="4"/>
    <x v="1"/>
    <n v="1140"/>
    <m/>
    <d v="2021-03-07T00:00:00"/>
    <s v="Yes"/>
    <x v="9"/>
  </r>
  <r>
    <n v="8337"/>
    <x v="16"/>
    <x v="4"/>
    <n v="1140"/>
    <m/>
    <d v="2021-09-17T00:00:00"/>
    <s v="Yes"/>
    <x v="9"/>
  </r>
  <r>
    <n v="8338"/>
    <x v="39"/>
    <x v="4"/>
    <n v="684"/>
    <m/>
    <d v="2021-03-07T00:00:00"/>
    <s v="Yes"/>
    <x v="9"/>
  </r>
  <r>
    <n v="8340"/>
    <x v="66"/>
    <x v="4"/>
    <n v="912"/>
    <m/>
    <d v="2021-09-17T00:00:00"/>
    <s v="Yes"/>
    <x v="9"/>
  </r>
  <r>
    <n v="8341"/>
    <x v="65"/>
    <x v="2"/>
    <n v="912"/>
    <m/>
    <d v="2021-03-07T00:00:00"/>
    <s v="Yes"/>
    <x v="9"/>
  </r>
  <r>
    <n v="8342"/>
    <x v="83"/>
    <x v="2"/>
    <n v="912"/>
    <m/>
    <d v="2021-03-07T00:00:00"/>
    <s v="Yes"/>
    <x v="9"/>
  </r>
  <r>
    <n v="8343"/>
    <x v="88"/>
    <x v="1"/>
    <n v="1824"/>
    <m/>
    <d v="2021-03-07T00:00:00"/>
    <s v="Yes"/>
    <x v="9"/>
  </r>
  <r>
    <n v="8344"/>
    <x v="89"/>
    <x v="1"/>
    <n v="2736"/>
    <m/>
    <d v="2021-03-07T00:00:00"/>
    <s v="Yes"/>
    <x v="9"/>
  </r>
  <r>
    <n v="8345"/>
    <x v="102"/>
    <x v="0"/>
    <n v="4668"/>
    <m/>
    <d v="2021-11-06T00:00:00"/>
    <s v="Yes"/>
    <x v="9"/>
  </r>
  <r>
    <n v="8346"/>
    <x v="103"/>
    <x v="0"/>
    <n v="3890"/>
    <m/>
    <d v="2021-06-17T00:00:00"/>
    <s v="Yes"/>
    <x v="9"/>
  </r>
  <r>
    <n v="8347"/>
    <x v="104"/>
    <x v="0"/>
    <n v="7002"/>
    <m/>
    <d v="2021-09-22T00:00:00"/>
    <s v="Yes"/>
    <x v="9"/>
  </r>
  <r>
    <n v="8348"/>
    <x v="105"/>
    <x v="0"/>
    <n v="3112"/>
    <m/>
    <d v="2021-09-17T00:00:00"/>
    <s v="Yes"/>
    <x v="9"/>
  </r>
  <r>
    <n v="8351"/>
    <x v="106"/>
    <x v="0"/>
    <n v="3112"/>
    <m/>
    <d v="2021-03-08T00:00:00"/>
    <s v="Yes"/>
    <x v="9"/>
  </r>
  <r>
    <n v="8352"/>
    <x v="62"/>
    <x v="4"/>
    <n v="1824"/>
    <m/>
    <d v="2022-11-05T00:00:00"/>
    <s v="Yes"/>
    <x v="8"/>
  </r>
  <r>
    <n v="8353"/>
    <x v="61"/>
    <x v="4"/>
    <n v="4560"/>
    <m/>
    <d v="2022-11-05T00:00:00"/>
    <s v="Yes"/>
    <x v="8"/>
  </r>
  <r>
    <n v="8355"/>
    <x v="47"/>
    <x v="3"/>
    <n v="3648"/>
    <m/>
    <d v="2022-11-05T00:00:00"/>
    <s v="Yes"/>
    <x v="8"/>
  </r>
  <r>
    <n v="8356"/>
    <x v="44"/>
    <x v="3"/>
    <n v="1368"/>
    <m/>
    <d v="2022-11-05T00:00:00"/>
    <s v="Yes"/>
    <x v="8"/>
  </r>
  <r>
    <n v="8357"/>
    <x v="107"/>
    <x v="4"/>
    <n v="912"/>
    <m/>
    <d v="2022-11-05T00:00:00"/>
    <s v="Yes"/>
    <x v="8"/>
  </r>
  <r>
    <n v="8358"/>
    <x v="27"/>
    <x v="3"/>
    <n v="912"/>
    <m/>
    <d v="2022-11-05T00:00:00"/>
    <s v="Yes"/>
    <x v="8"/>
  </r>
  <r>
    <n v="8359"/>
    <x v="84"/>
    <x v="2"/>
    <n v="3192"/>
    <m/>
    <d v="2022-11-05T00:00:00"/>
    <s v="Yes"/>
    <x v="8"/>
  </r>
  <r>
    <n v="8360"/>
    <x v="45"/>
    <x v="3"/>
    <n v="1140"/>
    <m/>
    <d v="2022-11-05T00:00:00"/>
    <s v="Yes"/>
    <x v="8"/>
  </r>
  <r>
    <n v="8361"/>
    <x v="37"/>
    <x v="3"/>
    <n v="342"/>
    <m/>
    <d v="2022-06-18T00:00:00"/>
    <s v="Yes"/>
    <x v="8"/>
  </r>
  <r>
    <n v="8362"/>
    <x v="50"/>
    <x v="4"/>
    <n v="684"/>
    <m/>
    <d v="2022-11-05T00:00:00"/>
    <s v="Yes"/>
    <x v="8"/>
  </r>
  <r>
    <n v="8363"/>
    <x v="25"/>
    <x v="3"/>
    <n v="684"/>
    <m/>
    <d v="2022-11-05T00:00:00"/>
    <s v="Yes"/>
    <x v="8"/>
  </r>
  <r>
    <n v="8364"/>
    <x v="108"/>
    <x v="0"/>
    <n v="2334"/>
    <m/>
    <d v="2022-07-07T00:00:00"/>
    <s v="Yes"/>
    <x v="8"/>
  </r>
  <r>
    <n v="8365"/>
    <x v="109"/>
    <x v="0"/>
    <n v="6224"/>
    <m/>
    <d v="2021-11-25T00:00:00"/>
    <s v="Yes"/>
    <x v="9"/>
  </r>
  <r>
    <n v="8366"/>
    <x v="110"/>
    <x v="0"/>
    <n v="7780"/>
    <m/>
    <d v="2021-02-12T00:00:00"/>
    <s v="Yes"/>
    <x v="9"/>
  </r>
  <r>
    <n v="8367"/>
    <x v="111"/>
    <x v="0"/>
    <n v="7780"/>
    <m/>
    <d v="2021-11-25T00:00:00"/>
    <s v="Yes"/>
    <x v="9"/>
  </r>
  <r>
    <n v="8368"/>
    <x v="112"/>
    <x v="0"/>
    <n v="14004"/>
    <m/>
    <d v="2022-07-21T00:00:00"/>
    <s v="Yes"/>
    <x v="8"/>
  </r>
  <r>
    <n v="8369"/>
    <x v="113"/>
    <x v="0"/>
    <n v="11670"/>
    <m/>
    <d v="2022-06-24T00:00:00"/>
    <s v="Yes"/>
    <x v="8"/>
  </r>
  <r>
    <n v="8370"/>
    <x v="114"/>
    <x v="1"/>
    <n v="912"/>
    <m/>
    <d v="2022-07-07T00:00:00"/>
    <s v="Yes"/>
    <x v="8"/>
  </r>
  <r>
    <n v="8371"/>
    <x v="94"/>
    <x v="1"/>
    <n v="1140"/>
    <m/>
    <d v="2022-06-18T00:00:00"/>
    <s v="Yes"/>
    <x v="8"/>
  </r>
  <r>
    <n v="8372"/>
    <x v="95"/>
    <x v="1"/>
    <n v="1596"/>
    <m/>
    <d v="2022-06-18T00:00:00"/>
    <s v="Yes"/>
    <x v="8"/>
  </r>
  <r>
    <n v="8373"/>
    <x v="91"/>
    <x v="1"/>
    <n v="5016"/>
    <m/>
    <d v="2022-04-28T00:00:00"/>
    <s v="Yes"/>
    <x v="8"/>
  </r>
  <r>
    <n v="8374"/>
    <x v="18"/>
    <x v="1"/>
    <n v="1824"/>
    <m/>
    <d v="2022-06-18T00:00:00"/>
    <s v="Yes"/>
    <x v="8"/>
  </r>
  <r>
    <n v="8375"/>
    <x v="97"/>
    <x v="2"/>
    <n v="912"/>
    <m/>
    <d v="2022-06-18T00:00:00"/>
    <s v="Yes"/>
    <x v="8"/>
  </r>
  <r>
    <n v="8376"/>
    <x v="85"/>
    <x v="2"/>
    <n v="2508"/>
    <m/>
    <d v="2022-06-18T00:00:00"/>
    <s v="Yes"/>
    <x v="8"/>
  </r>
  <r>
    <n v="8378"/>
    <x v="81"/>
    <x v="4"/>
    <n v="912"/>
    <m/>
    <d v="2022-06-18T00:00:00"/>
    <s v="Yes"/>
    <x v="8"/>
  </r>
  <r>
    <n v="8379"/>
    <x v="80"/>
    <x v="4"/>
    <n v="912"/>
    <m/>
    <d v="2022-11-05T00:00:00"/>
    <s v="Yes"/>
    <x v="8"/>
  </r>
  <r>
    <n v="8380"/>
    <x v="79"/>
    <x v="4"/>
    <n v="912"/>
    <m/>
    <d v="2022-11-05T00:00:00"/>
    <s v="Yes"/>
    <x v="8"/>
  </r>
  <r>
    <n v="8381"/>
    <x v="78"/>
    <x v="4"/>
    <n v="228"/>
    <m/>
    <d v="2022-11-05T00:00:00"/>
    <s v="Yes"/>
    <x v="8"/>
  </r>
  <r>
    <n v="8382"/>
    <x v="60"/>
    <x v="4"/>
    <n v="912"/>
    <m/>
    <d v="2022-11-10T00:00:00"/>
    <s v="Yes"/>
    <x v="8"/>
  </r>
  <r>
    <n v="8383"/>
    <x v="60"/>
    <x v="3"/>
    <n v="608"/>
    <m/>
    <d v="2022-11-10T00:00:00"/>
    <s v="Yes"/>
    <x v="8"/>
  </r>
  <r>
    <n v="8354"/>
    <x v="48"/>
    <x v="3"/>
    <n v="1824"/>
    <m/>
    <d v="2022-11-05T00:00:00"/>
    <s v="Yes"/>
    <x v="8"/>
  </r>
  <r>
    <n v="8385"/>
    <x v="29"/>
    <x v="5"/>
    <n v="1140"/>
    <m/>
    <d v="2022-11-05T00:00:00"/>
    <s v="Yes"/>
    <x v="8"/>
  </r>
  <r>
    <n v="8387"/>
    <x v="32"/>
    <x v="3"/>
    <n v="912"/>
    <m/>
    <d v="2022-05-09T00:00:00"/>
    <s v="Yes"/>
    <x v="8"/>
  </r>
  <r>
    <n v="8388"/>
    <x v="76"/>
    <x v="4"/>
    <n v="684"/>
    <m/>
    <d v="2022-05-09T00:00:00"/>
    <s v="Yes"/>
    <x v="8"/>
  </r>
  <r>
    <n v="8389"/>
    <x v="76"/>
    <x v="3"/>
    <n v="684"/>
    <m/>
    <d v="2022-05-09T00:00:00"/>
    <s v="Yes"/>
    <x v="8"/>
  </r>
  <r>
    <n v="8390"/>
    <x v="73"/>
    <x v="4"/>
    <n v="570"/>
    <m/>
    <d v="2022-05-09T00:00:00"/>
    <s v="Yes"/>
    <x v="8"/>
  </r>
  <r>
    <n v="8392"/>
    <x v="74"/>
    <x v="3"/>
    <n v="912"/>
    <m/>
    <d v="2022-05-09T00:00:00"/>
    <s v="Yes"/>
    <x v="8"/>
  </r>
  <r>
    <n v="8393"/>
    <x v="51"/>
    <x v="3"/>
    <n v="912"/>
    <m/>
    <d v="2022-05-09T00:00:00"/>
    <s v="Yes"/>
    <x v="8"/>
  </r>
  <r>
    <n v="8394"/>
    <x v="35"/>
    <x v="3"/>
    <n v="912"/>
    <m/>
    <d v="2022-05-09T00:00:00"/>
    <s v="Yes"/>
    <x v="8"/>
  </r>
  <r>
    <n v="8395"/>
    <x v="56"/>
    <x v="3"/>
    <n v="665"/>
    <m/>
    <d v="2022-05-09T00:00:00"/>
    <s v="Yes"/>
    <x v="8"/>
  </r>
  <r>
    <n v="8396"/>
    <x v="31"/>
    <x v="3"/>
    <n v="228"/>
    <m/>
    <d v="2022-05-09T00:00:00"/>
    <s v="Yes"/>
    <x v="8"/>
  </r>
  <r>
    <n v="8397"/>
    <x v="53"/>
    <x v="3"/>
    <n v="760"/>
    <m/>
    <d v="2022-05-09T00:00:00"/>
    <s v="Yes"/>
    <x v="8"/>
  </r>
  <r>
    <n v="8400"/>
    <x v="115"/>
    <x v="0"/>
    <n v="2334"/>
    <m/>
    <d v="2022-02-22T00:00:00"/>
    <s v="Yes"/>
    <x v="8"/>
  </r>
  <r>
    <n v="8401"/>
    <x v="116"/>
    <x v="0"/>
    <n v="7780"/>
    <m/>
    <d v="2022-02-22T00:00:00"/>
    <s v="Yes"/>
    <x v="8"/>
  </r>
  <r>
    <n v="8402"/>
    <x v="83"/>
    <x v="4"/>
    <n v="912"/>
    <m/>
    <d v="2022-07-07T00:00:00"/>
    <s v="Yes"/>
    <x v="8"/>
  </r>
  <r>
    <n v="8403"/>
    <x v="61"/>
    <x v="3"/>
    <n v="4560"/>
    <m/>
    <d v="2022-09-08T00:00:00"/>
    <s v="Yes"/>
    <x v="8"/>
  </r>
  <r>
    <n v="8404"/>
    <x v="88"/>
    <x v="2"/>
    <n v="1824"/>
    <m/>
    <d v="2022-09-08T00:00:00"/>
    <s v="Yes"/>
    <x v="8"/>
  </r>
  <r>
    <n v="8405"/>
    <x v="4"/>
    <x v="2"/>
    <n v="1140"/>
    <m/>
    <d v="2022-09-08T00:00:00"/>
    <s v="Yes"/>
    <x v="8"/>
  </r>
  <r>
    <n v="8406"/>
    <x v="99"/>
    <x v="1"/>
    <n v="912"/>
    <m/>
    <d v="2022-09-08T00:00:00"/>
    <s v="Yes"/>
    <x v="8"/>
  </r>
  <r>
    <n v="8407"/>
    <x v="98"/>
    <x v="1"/>
    <n v="1596"/>
    <m/>
    <d v="2022-09-08T00:00:00"/>
    <s v="Yes"/>
    <x v="8"/>
  </r>
  <r>
    <n v="8408"/>
    <x v="100"/>
    <x v="1"/>
    <n v="684"/>
    <m/>
    <d v="2022-09-08T00:00:00"/>
    <s v="Yes"/>
    <x v="8"/>
  </r>
  <r>
    <n v="8409"/>
    <x v="117"/>
    <x v="0"/>
    <n v="9336"/>
    <m/>
    <d v="2022-10-04T00:00:00"/>
    <s v="Yes"/>
    <x v="8"/>
  </r>
  <r>
    <n v="8410"/>
    <x v="118"/>
    <x v="0"/>
    <n v="4668"/>
    <m/>
    <d v="2022-10-04T00:00:00"/>
    <s v="Yes"/>
    <x v="8"/>
  </r>
  <r>
    <n v="8411"/>
    <x v="52"/>
    <x v="0"/>
    <n v="1584"/>
    <m/>
    <d v="2022-05-09T00:00:00"/>
    <s v="Yes"/>
    <x v="8"/>
  </r>
  <r>
    <n v="8412"/>
    <x v="102"/>
    <x v="1"/>
    <n v="1368"/>
    <m/>
    <d v="2022-05-09T00:00:00"/>
    <s v="Yes"/>
    <x v="8"/>
  </r>
  <r>
    <n v="8413"/>
    <x v="103"/>
    <x v="1"/>
    <n v="1140"/>
    <m/>
    <d v="2022-05-09T00:00:00"/>
    <s v="Yes"/>
    <x v="8"/>
  </r>
  <r>
    <n v="8414"/>
    <x v="101"/>
    <x v="1"/>
    <n v="1140"/>
    <m/>
    <d v="2022-05-09T00:00:00"/>
    <s v="Yes"/>
    <x v="8"/>
  </r>
  <r>
    <n v="8416"/>
    <x v="107"/>
    <x v="3"/>
    <n v="912"/>
    <m/>
    <d v="2022-05-09T00:00:00"/>
    <s v="Yes"/>
    <x v="8"/>
  </r>
  <r>
    <n v="8417"/>
    <x v="32"/>
    <x v="2"/>
    <n v="912"/>
    <m/>
    <d v="2022-05-09T00:00:00"/>
    <s v="Yes"/>
    <x v="8"/>
  </r>
  <r>
    <n v="8418"/>
    <x v="87"/>
    <x v="1"/>
    <n v="1368"/>
    <m/>
    <d v="2022-05-09T00:00:00"/>
    <s v="Yes"/>
    <x v="8"/>
  </r>
  <r>
    <n v="8419"/>
    <x v="119"/>
    <x v="0"/>
    <n v="15560"/>
    <m/>
    <d v="2022-11-10T00:00:00"/>
    <s v="Yes"/>
    <x v="8"/>
  </r>
  <r>
    <n v="8420"/>
    <x v="120"/>
    <x v="0"/>
    <n v="2334"/>
    <m/>
    <d v="2022-11-10T00:00:00"/>
    <s v="Yes"/>
    <x v="8"/>
  </r>
  <r>
    <n v="8421"/>
    <x v="106"/>
    <x v="1"/>
    <n v="912"/>
    <m/>
    <d v="2022-11-10T00:00:00"/>
    <s v="Yes"/>
    <x v="8"/>
  </r>
  <r>
    <n v="8422"/>
    <x v="84"/>
    <x v="2"/>
    <n v="3192"/>
    <m/>
    <d v="2022-11-10T00:00:00"/>
    <s v="Yes"/>
    <x v="8"/>
  </r>
  <r>
    <n v="8423"/>
    <x v="121"/>
    <x v="5"/>
    <n v="912"/>
    <m/>
    <d v="2022-12-25T00:00:00"/>
    <s v="Yes"/>
    <x v="8"/>
  </r>
  <r>
    <n v="8424"/>
    <x v="47"/>
    <x v="5"/>
    <n v="3648"/>
    <m/>
    <d v="2022-11-10T00:00:00"/>
    <s v="Yes"/>
    <x v="8"/>
  </r>
  <r>
    <n v="8425"/>
    <x v="45"/>
    <x v="5"/>
    <n v="1140"/>
    <m/>
    <d v="2022-11-10T00:00:00"/>
    <s v="Yes"/>
    <x v="8"/>
  </r>
  <r>
    <n v="8426"/>
    <x v="48"/>
    <x v="5"/>
    <n v="2280"/>
    <m/>
    <d v="2023-01-06T00:00:00"/>
    <s v="Yes"/>
    <x v="10"/>
  </r>
  <r>
    <n v="8427"/>
    <x v="122"/>
    <x v="0"/>
    <n v="2334"/>
    <m/>
    <d v="2022-12-25T00:00:00"/>
    <s v="Yes"/>
    <x v="8"/>
  </r>
  <r>
    <n v="8428"/>
    <x v="123"/>
    <x v="0"/>
    <n v="3112"/>
    <m/>
    <d v="2022-12-25T00:00:00"/>
    <s v="Yes"/>
    <x v="8"/>
  </r>
  <r>
    <n v="8429"/>
    <x v="124"/>
    <x v="0"/>
    <n v="7780"/>
    <m/>
    <d v="2022-12-25T00:00:00"/>
    <s v="Yes"/>
    <x v="8"/>
  </r>
  <r>
    <n v="8430"/>
    <x v="104"/>
    <x v="1"/>
    <n v="2052"/>
    <m/>
    <d v="2022-12-25T00:00:00"/>
    <s v="Yes"/>
    <x v="8"/>
  </r>
  <r>
    <n v="8431"/>
    <x v="91"/>
    <x v="2"/>
    <n v="4560"/>
    <m/>
    <d v="2022-12-25T00:00:00"/>
    <s v="Yes"/>
    <x v="8"/>
  </r>
  <r>
    <n v="8432"/>
    <x v="63"/>
    <x v="4"/>
    <n v="228"/>
    <m/>
    <d v="2023-01-06T00:00:00"/>
    <s v="Yes"/>
    <x v="10"/>
  </r>
  <r>
    <n v="8433"/>
    <x v="65"/>
    <x v="3"/>
    <n v="912"/>
    <m/>
    <d v="2022-12-25T00:00:00"/>
    <s v="Yes"/>
    <x v="8"/>
  </r>
  <r>
    <n v="8434"/>
    <x v="57"/>
    <x v="5"/>
    <n v="1824"/>
    <m/>
    <d v="2022-12-25T00:00:00"/>
    <s v="Yes"/>
    <x v="8"/>
  </r>
  <r>
    <n v="8435"/>
    <x v="115"/>
    <x v="1"/>
    <n v="684"/>
    <m/>
    <d v="2023-01-06T00:00:00"/>
    <s v="Yes"/>
    <x v="10"/>
  </r>
  <r>
    <n v="8436"/>
    <x v="109"/>
    <x v="1"/>
    <n v="1824"/>
    <m/>
    <d v="2023-01-06T00:00:00"/>
    <s v="Yes"/>
    <x v="10"/>
  </r>
  <r>
    <n v="8437"/>
    <x v="111"/>
    <x v="1"/>
    <n v="2280"/>
    <m/>
    <d v="2023-01-06T00:00:00"/>
    <s v="Yes"/>
    <x v="10"/>
  </r>
  <r>
    <n v="8438"/>
    <x v="110"/>
    <x v="1"/>
    <n v="2280"/>
    <m/>
    <d v="2023-01-06T00:00:00"/>
    <s v="Yes"/>
    <x v="10"/>
  </r>
  <r>
    <n v="8439"/>
    <x v="95"/>
    <x v="2"/>
    <n v="1596"/>
    <m/>
    <d v="2023-01-06T00:00:00"/>
    <s v="Yes"/>
    <x v="10"/>
  </r>
  <r>
    <n v="8440"/>
    <x v="94"/>
    <x v="2"/>
    <n v="1140"/>
    <m/>
    <d v="2023-01-06T00:00:00"/>
    <s v="Yes"/>
    <x v="10"/>
  </r>
  <r>
    <n v="8441"/>
    <x v="125"/>
    <x v="2"/>
    <n v="912"/>
    <m/>
    <d v="2023-01-06T00:00:00"/>
    <s v="Yes"/>
    <x v="10"/>
  </r>
  <r>
    <n v="8442"/>
    <x v="18"/>
    <x v="2"/>
    <n v="1824"/>
    <m/>
    <d v="2023-07-16T00:00:00"/>
    <s v="Yes"/>
    <x v="10"/>
  </r>
  <r>
    <n v="8443"/>
    <x v="85"/>
    <x v="4"/>
    <n v="1824"/>
    <m/>
    <d v="2023-07-16T00:00:00"/>
    <s v="Yes"/>
    <x v="10"/>
  </r>
  <r>
    <n v="8444"/>
    <x v="126"/>
    <x v="4"/>
    <n v="912"/>
    <m/>
    <d v="2023-07-16T00:00:00"/>
    <s v="Yes"/>
    <x v="10"/>
  </r>
  <r>
    <n v="8445"/>
    <x v="81"/>
    <x v="3"/>
    <n v="912"/>
    <m/>
    <d v="2023-07-16T00:00:00"/>
    <s v="Yes"/>
    <x v="10"/>
  </r>
  <r>
    <n v="8446"/>
    <x v="80"/>
    <x v="3"/>
    <n v="912"/>
    <m/>
    <d v="2023-07-16T00:00:00"/>
    <s v="Yes"/>
    <x v="10"/>
  </r>
  <r>
    <n v="8447"/>
    <x v="127"/>
    <x v="3"/>
    <n v="912"/>
    <m/>
    <d v="2023-07-16T00:00:00"/>
    <s v="Yes"/>
    <x v="10"/>
  </r>
  <r>
    <n v="8448"/>
    <x v="53"/>
    <x v="5"/>
    <n v="912"/>
    <m/>
    <d v="2023-07-16T00:00:00"/>
    <s v="Yes"/>
    <x v="10"/>
  </r>
  <r>
    <n v="8449"/>
    <x v="31"/>
    <x v="2"/>
    <n v="684"/>
    <m/>
    <d v="2023-07-16T00:00:00"/>
    <s v="Yes"/>
    <x v="10"/>
  </r>
  <r>
    <n v="8451"/>
    <x v="99"/>
    <x v="2"/>
    <n v="912"/>
    <m/>
    <d v="2023-07-16T00:00:00"/>
    <s v="Yes"/>
    <x v="10"/>
  </r>
  <r>
    <n v="8452"/>
    <x v="98"/>
    <x v="2"/>
    <n v="1596"/>
    <m/>
    <d v="2023-07-16T00:00:00"/>
    <s v="Yes"/>
    <x v="10"/>
  </r>
  <r>
    <n v="8453"/>
    <x v="100"/>
    <x v="2"/>
    <n v="684"/>
    <m/>
    <d v="2023-07-16T00:00:00"/>
    <s v="Yes"/>
    <x v="10"/>
  </r>
  <r>
    <n v="8454"/>
    <x v="108"/>
    <x v="1"/>
    <n v="684"/>
    <m/>
    <d v="2023-07-16T00:00:00"/>
    <s v="Yes"/>
    <x v="10"/>
  </r>
  <r>
    <n v="8455"/>
    <x v="108"/>
    <x v="2"/>
    <n v="684"/>
    <m/>
    <d v="2023-07-16T00:00:00"/>
    <s v="Yes"/>
    <x v="10"/>
  </r>
  <r>
    <n v="8456"/>
    <x v="128"/>
    <x v="0"/>
    <n v="3112"/>
    <m/>
    <d v="2023-08-03T00:00:00"/>
    <s v="Yes"/>
    <x v="10"/>
  </r>
  <r>
    <n v="8457"/>
    <x v="129"/>
    <x v="0"/>
    <n v="3112"/>
    <m/>
    <d v="2023-08-03T00:00:00"/>
    <s v="Yes"/>
    <x v="10"/>
  </r>
  <r>
    <n v="8458"/>
    <x v="130"/>
    <x v="0"/>
    <n v="14004"/>
    <m/>
    <d v="2023-07-16T00:00:00"/>
    <s v="Yes"/>
    <x v="10"/>
  </r>
  <r>
    <n v="8459"/>
    <x v="131"/>
    <x v="0"/>
    <n v="7780"/>
    <m/>
    <d v="2023-03-04T00:00:00"/>
    <s v="Yes"/>
    <x v="10"/>
  </r>
  <r>
    <n v="8460"/>
    <x v="116"/>
    <x v="1"/>
    <n v="2280"/>
    <m/>
    <d v="2023-07-16T00:00:00"/>
    <s v="Yes"/>
    <x v="10"/>
  </r>
  <r>
    <n v="8461"/>
    <x v="112"/>
    <x v="1"/>
    <n v="4104"/>
    <m/>
    <d v="2023-07-16T00:00:00"/>
    <s v="Yes"/>
    <x v="10"/>
  </r>
  <r>
    <n v="8462"/>
    <x v="89"/>
    <x v="2"/>
    <n v="2736"/>
    <m/>
    <d v="2023-07-16T00:00:00"/>
    <s v="Yes"/>
    <x v="10"/>
  </r>
  <r>
    <n v="8463"/>
    <x v="88"/>
    <x v="4"/>
    <n v="1824"/>
    <m/>
    <d v="2023-07-16T00:00:00"/>
    <s v="Yes"/>
    <x v="10"/>
  </r>
  <r>
    <n v="8464"/>
    <x v="108"/>
    <x v="4"/>
    <n v="684"/>
    <m/>
    <d v="2023-07-16T00:00:00"/>
    <s v="Yes"/>
    <x v="10"/>
  </r>
  <r>
    <n v="8465"/>
    <x v="61"/>
    <x v="5"/>
    <n v="4560"/>
    <m/>
    <d v="2023-07-16T00:00:00"/>
    <s v="Yes"/>
    <x v="10"/>
  </r>
  <r>
    <n v="8466"/>
    <x v="62"/>
    <x v="4"/>
    <n v="1824"/>
    <m/>
    <d v="2023-07-16T00:00:00"/>
    <s v="Yes"/>
    <x v="10"/>
  </r>
  <r>
    <n v="8468"/>
    <x v="132"/>
    <x v="0"/>
    <n v="4668"/>
    <m/>
    <d v="2023-07-16T00:00:00"/>
    <s v="Yes"/>
    <x v="10"/>
  </r>
  <r>
    <n v="8469"/>
    <x v="4"/>
    <x v="4"/>
    <n v="684"/>
    <m/>
    <d v="2023-07-16T00:00:00"/>
    <s v="Yes"/>
    <x v="10"/>
  </r>
  <r>
    <n v="8470"/>
    <x v="83"/>
    <x v="3"/>
    <n v="912"/>
    <m/>
    <d v="2023-07-16T00:00:00"/>
    <s v="Yes"/>
    <x v="10"/>
  </r>
  <r>
    <n v="8471"/>
    <x v="117"/>
    <x v="1"/>
    <n v="2736"/>
    <m/>
    <d v="2023-07-16T00:00:00"/>
    <s v="Yes"/>
    <x v="10"/>
  </r>
  <r>
    <n v="8472"/>
    <x v="133"/>
    <x v="1"/>
    <n v="1368"/>
    <m/>
    <d v="2023-07-16T00:00:00"/>
    <s v="Yes"/>
    <x v="10"/>
  </r>
  <r>
    <n v="8473"/>
    <x v="102"/>
    <x v="2"/>
    <n v="1368"/>
    <m/>
    <d v="2023-07-16T00:00:00"/>
    <s v="Yes"/>
    <x v="10"/>
  </r>
  <r>
    <n v="8474"/>
    <x v="103"/>
    <x v="2"/>
    <n v="1140"/>
    <m/>
    <d v="2023-07-16T00:00:00"/>
    <s v="Yes"/>
    <x v="10"/>
  </r>
  <r>
    <n v="8475"/>
    <x v="87"/>
    <x v="2"/>
    <n v="1368"/>
    <m/>
    <d v="2023-07-16T00:00:00"/>
    <s v="Yes"/>
    <x v="10"/>
  </r>
  <r>
    <n v="8476"/>
    <x v="101"/>
    <x v="2"/>
    <n v="1140"/>
    <m/>
    <d v="2023-07-16T00:00:00"/>
    <s v="Yes"/>
    <x v="10"/>
  </r>
  <r>
    <n v="8477"/>
    <x v="66"/>
    <x v="5"/>
    <n v="912"/>
    <m/>
    <d v="2023-07-16T00:00:00"/>
    <s v="Yes"/>
    <x v="10"/>
  </r>
  <r>
    <n v="8478"/>
    <x v="68"/>
    <x v="5"/>
    <n v="912"/>
    <m/>
    <d v="2023-07-16T00:00:00"/>
    <s v="Yes"/>
    <x v="10"/>
  </r>
  <r>
    <n v="8479"/>
    <x v="134"/>
    <x v="5"/>
    <n v="1368"/>
    <m/>
    <d v="2023-07-16T00:00:00"/>
    <s v="Yes"/>
    <x v="10"/>
  </r>
  <r>
    <n v="8480"/>
    <x v="134"/>
    <x v="6"/>
    <n v="1368"/>
    <m/>
    <d v="2023-07-16T00:00:00"/>
    <s v="Yes"/>
    <x v="10"/>
  </r>
  <r>
    <n v="8481"/>
    <x v="135"/>
    <x v="0"/>
    <n v="4668"/>
    <m/>
    <d v="2023-09-08T00:00:00"/>
    <s v="Yes"/>
    <x v="10"/>
  </r>
  <r>
    <n v="8482"/>
    <x v="136"/>
    <x v="0"/>
    <n v="6224"/>
    <m/>
    <d v="2023-09-08T00:00:00"/>
    <s v="Yes"/>
    <x v="10"/>
  </r>
  <r>
    <n v="8483"/>
    <x v="137"/>
    <x v="0"/>
    <n v="17116"/>
    <m/>
    <d v="2023-09-08T00:00:00"/>
    <s v="Yes"/>
    <x v="10"/>
  </r>
  <r>
    <n v="8484"/>
    <x v="138"/>
    <x v="0"/>
    <n v="6224"/>
    <m/>
    <d v="2023-09-08T00:00:00"/>
    <s v="Yes"/>
    <x v="10"/>
  </r>
  <r>
    <n v="8487"/>
    <x v="139"/>
    <x v="1"/>
    <n v="912"/>
    <m/>
    <d v="2023-09-08T00:00:00"/>
    <s v="Yes"/>
    <x v="10"/>
  </r>
  <r>
    <n v="8488"/>
    <x v="139"/>
    <x v="2"/>
    <n v="912"/>
    <m/>
    <d v="2023-09-08T00:00:00"/>
    <s v="Yes"/>
    <x v="10"/>
  </r>
  <r>
    <n v="8489"/>
    <x v="140"/>
    <x v="2"/>
    <n v="912"/>
    <n v="4"/>
    <d v="2024-02-20T00:00:00"/>
    <s v="Yes"/>
    <x v="11"/>
  </r>
  <r>
    <n v="8490"/>
    <x v="83"/>
    <x v="0"/>
    <n v="3890"/>
    <n v="5"/>
    <d v="2024-02-20T00:00:00"/>
    <s v="Yes"/>
    <x v="11"/>
  </r>
  <r>
    <n v="8491"/>
    <x v="47"/>
    <x v="6"/>
    <n v="3648"/>
    <n v="16"/>
    <d v="2024-02-20T00:00:00"/>
    <s v="Yes"/>
    <x v="11"/>
  </r>
  <r>
    <n v="8492"/>
    <x v="48"/>
    <x v="5"/>
    <n v="1368"/>
    <n v="6"/>
    <m/>
    <s v="No"/>
    <x v="12"/>
  </r>
  <r>
    <n v="8494"/>
    <x v="91"/>
    <x v="4"/>
    <n v="5016"/>
    <n v="22"/>
    <d v="2024-02-20T00:00:00"/>
    <s v="Yes"/>
    <x v="11"/>
  </r>
  <r>
    <n v="8495"/>
    <x v="57"/>
    <x v="6"/>
    <n v="1824"/>
    <n v="8"/>
    <d v="2024-02-20T00:00:00"/>
    <s v="Yes"/>
    <x v="11"/>
  </r>
  <r>
    <n v="8496"/>
    <x v="141"/>
    <x v="0"/>
    <n v="3112"/>
    <n v="4"/>
    <d v="2023-12-28T00:00:00"/>
    <s v="Yes"/>
    <x v="10"/>
  </r>
  <r>
    <n v="8497"/>
    <x v="142"/>
    <x v="0"/>
    <n v="3890"/>
    <n v="5"/>
    <d v="2023-12-28T00:00:00"/>
    <s v="Yes"/>
    <x v="10"/>
  </r>
  <r>
    <n v="8498"/>
    <x v="143"/>
    <x v="0"/>
    <n v="6224"/>
    <n v="8"/>
    <d v="2023-12-28T00:00:00"/>
    <s v="Yes"/>
    <x v="10"/>
  </r>
  <r>
    <n v="8499"/>
    <x v="122"/>
    <x v="1"/>
    <n v="684"/>
    <n v="3"/>
    <d v="2023-12-28T00:00:00"/>
    <s v="Yes"/>
    <x v="10"/>
  </r>
  <r>
    <n v="8500"/>
    <x v="124"/>
    <x v="1"/>
    <n v="2280"/>
    <n v="10"/>
    <d v="2023-12-28T00:00:00"/>
    <s v="Yes"/>
    <x v="10"/>
  </r>
  <r>
    <n v="8501"/>
    <x v="123"/>
    <x v="1"/>
    <n v="912"/>
    <n v="4"/>
    <d v="2023-12-28T00:00:00"/>
    <s v="Yes"/>
    <x v="10"/>
  </r>
  <r>
    <n v="8502"/>
    <x v="120"/>
    <x v="1"/>
    <n v="684"/>
    <n v="3"/>
    <d v="2024-04-16T00:00:00"/>
    <s v="Yes"/>
    <x v="11"/>
  </r>
  <r>
    <n v="8503"/>
    <x v="113"/>
    <x v="1"/>
    <n v="3420"/>
    <n v="15"/>
    <d v="2024-02-20T00:00:00"/>
    <s v="Yes"/>
    <x v="11"/>
  </r>
  <r>
    <n v="8504"/>
    <x v="113"/>
    <x v="2"/>
    <n v="3420"/>
    <n v="15"/>
    <d v="2024-02-20T00:00:00"/>
    <s v="Yes"/>
    <x v="11"/>
  </r>
  <r>
    <n v="8505"/>
    <x v="119"/>
    <x v="1"/>
    <n v="4560"/>
    <n v="20"/>
    <d v="2024-02-20T00:00:00"/>
    <s v="Yes"/>
    <x v="11"/>
  </r>
  <r>
    <n v="8506"/>
    <x v="112"/>
    <x v="2"/>
    <n v="4104"/>
    <n v="18"/>
    <d v="2024-02-20T00:00:00"/>
    <s v="Yes"/>
    <x v="11"/>
  </r>
  <r>
    <n v="8507"/>
    <x v="115"/>
    <x v="2"/>
    <n v="684"/>
    <n v="3"/>
    <m/>
    <s v="cancelled"/>
    <x v="12"/>
  </r>
  <r>
    <n v="8508"/>
    <x v="109"/>
    <x v="2"/>
    <n v="1824"/>
    <n v="8"/>
    <d v="2024-02-20T00:00:00"/>
    <s v="Yes"/>
    <x v="11"/>
  </r>
  <r>
    <n v="8509"/>
    <x v="111"/>
    <x v="2"/>
    <n v="2280"/>
    <n v="10"/>
    <d v="2024-02-20T00:00:00"/>
    <s v="Yes"/>
    <x v="11"/>
  </r>
  <r>
    <n v="8510"/>
    <x v="110"/>
    <x v="2"/>
    <n v="2280"/>
    <n v="10"/>
    <d v="2024-03-28T00:00:00"/>
    <s v="Yes"/>
    <x v="11"/>
  </r>
  <r>
    <n v="8511"/>
    <x v="95"/>
    <x v="4"/>
    <n v="1596"/>
    <n v="7"/>
    <d v="2024-03-28T00:00:00"/>
    <s v="Yes"/>
    <x v="11"/>
  </r>
  <r>
    <n v="8512"/>
    <x v="94"/>
    <x v="4"/>
    <n v="1140"/>
    <n v="5"/>
    <d v="2024-03-28T00:00:00"/>
    <s v="Yes"/>
    <x v="11"/>
  </r>
  <r>
    <n v="8513"/>
    <x v="125"/>
    <x v="4"/>
    <n v="912"/>
    <n v="4"/>
    <d v="2024-03-28T00:00:00"/>
    <s v="Yes"/>
    <x v="11"/>
  </r>
  <r>
    <n v="8514"/>
    <x v="18"/>
    <x v="4"/>
    <n v="1824"/>
    <n v="8"/>
    <d v="2024-03-28T00:00:00"/>
    <s v="Yes"/>
    <x v="11"/>
  </r>
  <r>
    <n v="8515"/>
    <x v="85"/>
    <x v="3"/>
    <n v="2508"/>
    <n v="11"/>
    <d v="2024-03-28T00:00:00"/>
    <s v="Yes"/>
    <x v="11"/>
  </r>
  <r>
    <n v="8516"/>
    <x v="97"/>
    <x v="3"/>
    <n v="912"/>
    <n v="4"/>
    <d v="2024-03-28T00:00:00"/>
    <s v="Yes"/>
    <x v="11"/>
  </r>
  <r>
    <n v="8517"/>
    <x v="127"/>
    <x v="5"/>
    <n v="912"/>
    <n v="4"/>
    <d v="2024-03-28T00:00:00"/>
    <s v="Yes"/>
    <x v="11"/>
  </r>
  <r>
    <n v="8518"/>
    <x v="53"/>
    <x v="6"/>
    <n v="912"/>
    <n v="4"/>
    <d v="2024-03-28T00:00:00"/>
    <s v="Yes"/>
    <x v="11"/>
  </r>
  <r>
    <n v="8519"/>
    <x v="144"/>
    <x v="0"/>
    <n v="6224"/>
    <n v="8"/>
    <d v="2024-03-28T00:00:00"/>
    <s v="Yes"/>
    <x v="11"/>
  </r>
  <r>
    <n v="8520"/>
    <x v="145"/>
    <x v="0"/>
    <n v="4668"/>
    <n v="6"/>
    <d v="2024-03-28T00:00:00"/>
    <s v="Yes"/>
    <x v="11"/>
  </r>
  <r>
    <n v="8521"/>
    <x v="129"/>
    <x v="1"/>
    <n v="912"/>
    <n v="4"/>
    <d v="2024-04-16T00:00:00"/>
    <s v="Yes"/>
    <x v="11"/>
  </r>
  <r>
    <n v="8522"/>
    <x v="116"/>
    <x v="2"/>
    <n v="2280"/>
    <n v="10"/>
    <d v="2024-04-16T00:00:00"/>
    <s v="Yes"/>
    <x v="11"/>
  </r>
  <r>
    <n v="8523"/>
    <x v="99"/>
    <x v="4"/>
    <n v="912"/>
    <n v="4"/>
    <d v="2024-04-16T00:00:00"/>
    <s v="Yes"/>
    <x v="11"/>
  </r>
  <r>
    <n v="8525"/>
    <x v="98"/>
    <x v="4"/>
    <n v="1596"/>
    <n v="7"/>
    <d v="2024-04-16T00:00:00"/>
    <s v="Yes"/>
    <x v="11"/>
  </r>
  <r>
    <n v="8524"/>
    <x v="146"/>
    <x v="4"/>
    <n v="684"/>
    <n v="3"/>
    <d v="2024-04-16T00:00:00"/>
    <s v="Yes"/>
    <x v="11"/>
  </r>
  <r>
    <n v="8526"/>
    <x v="88"/>
    <x v="3"/>
    <n v="1824"/>
    <n v="8"/>
    <d v="2024-04-16T00:00:00"/>
    <s v="Yes"/>
    <x v="11"/>
  </r>
  <r>
    <n v="8527"/>
    <x v="89"/>
    <x v="4"/>
    <n v="2736"/>
    <n v="12"/>
    <d v="2024-04-16T00:00:00"/>
    <s v="Yes"/>
    <x v="11"/>
  </r>
  <r>
    <n v="8528"/>
    <x v="61"/>
    <x v="6"/>
    <n v="4560"/>
    <n v="20"/>
    <d v="2024-04-16T00:00:00"/>
    <s v="Yes"/>
    <x v="11"/>
  </r>
  <r>
    <n v="8529"/>
    <x v="62"/>
    <x v="5"/>
    <n v="1824"/>
    <n v="8"/>
    <d v="2024-04-16T00:00:00"/>
    <s v="Yes"/>
    <x v="11"/>
  </r>
  <r>
    <n v="8530"/>
    <x v="147"/>
    <x v="0"/>
    <n v="4668"/>
    <n v="6"/>
    <d v="2024-04-16T00:00:00"/>
    <s v="Yes"/>
    <x v="11"/>
  </r>
  <r>
    <n v="8531"/>
    <x v="148"/>
    <x v="0"/>
    <n v="9336"/>
    <n v="12"/>
    <d v="2024-04-16T00:00:00"/>
    <s v="Yes"/>
    <x v="11"/>
  </r>
  <r>
    <n v="8532"/>
    <x v="149"/>
    <x v="0"/>
    <n v="7780"/>
    <n v="10"/>
    <d v="2024-04-16T00:00:00"/>
    <s v="Yes"/>
    <x v="11"/>
  </r>
  <r>
    <n v="8533"/>
    <x v="150"/>
    <x v="0"/>
    <n v="3890"/>
    <n v="5"/>
    <d v="2024-05-17T00:00:00"/>
    <s v="Yes"/>
    <x v="11"/>
  </r>
  <r>
    <n v="8534"/>
    <x v="151"/>
    <x v="0"/>
    <n v="9336"/>
    <n v="12"/>
    <d v="2024-05-17T00:00:00"/>
    <s v="Yes"/>
    <x v="11"/>
  </r>
  <r>
    <n v="8535"/>
    <x v="152"/>
    <x v="0"/>
    <n v="9336"/>
    <n v="12"/>
    <d v="2024-06-23T00:00:00"/>
    <s v="Yes"/>
    <x v="11"/>
  </r>
  <r>
    <n v="8536"/>
    <x v="153"/>
    <x v="0"/>
    <n v="7780"/>
    <n v="10"/>
    <d v="2024-06-23T00:00:00"/>
    <s v="Yes"/>
    <x v="11"/>
  </r>
  <r>
    <n v="8537"/>
    <x v="154"/>
    <x v="0"/>
    <n v="7780"/>
    <n v="10"/>
    <d v="2024-06-23T00:00:00"/>
    <s v="Yes"/>
    <x v="11"/>
  </r>
  <r>
    <n v="8538"/>
    <x v="155"/>
    <x v="0"/>
    <n v="12448"/>
    <n v="16"/>
    <d v="2024-05-17T00:00:00"/>
    <s v="Yes"/>
    <x v="11"/>
  </r>
  <r>
    <n v="8539"/>
    <x v="156"/>
    <x v="0"/>
    <n v="6224"/>
    <n v="8"/>
    <d v="2024-05-17T00:00:00"/>
    <s v="Yes"/>
    <x v="11"/>
  </r>
  <r>
    <n v="8540"/>
    <x v="157"/>
    <x v="0"/>
    <n v="7780"/>
    <n v="10"/>
    <d v="2024-07-05T00:00:00"/>
    <s v="Yes"/>
    <x v="11"/>
  </r>
  <r>
    <n v="8541"/>
    <x v="158"/>
    <x v="0"/>
    <n v="10114"/>
    <n v="13"/>
    <d v="2024-07-05T00:00:00"/>
    <s v="Yes"/>
    <x v="11"/>
  </r>
  <r>
    <n v="8542"/>
    <x v="159"/>
    <x v="0"/>
    <n v="10892"/>
    <n v="14"/>
    <d v="2024-07-05T00:00:00"/>
    <s v="Yes"/>
    <x v="11"/>
  </r>
  <r>
    <n v="8543"/>
    <x v="160"/>
    <x v="0"/>
    <n v="6224"/>
    <n v="8"/>
    <d v="2024-07-05T00:00:00"/>
    <s v="Yes"/>
    <x v="11"/>
  </r>
  <r>
    <n v="8544"/>
    <x v="161"/>
    <x v="0"/>
    <n v="6224"/>
    <n v="8"/>
    <d v="2024-07-22T00:00:00"/>
    <s v="Yes"/>
    <x v="11"/>
  </r>
  <r>
    <n v="8545"/>
    <x v="162"/>
    <x v="0"/>
    <n v="6224"/>
    <n v="8"/>
    <d v="2024-07-22T00:00:00"/>
    <s v="Yes"/>
    <x v="11"/>
  </r>
  <r>
    <n v="8546"/>
    <x v="132"/>
    <x v="1"/>
    <n v="1368"/>
    <n v="6"/>
    <d v="2024-05-17T00:00:00"/>
    <s v="Yes"/>
    <x v="11"/>
  </r>
  <r>
    <n v="8547"/>
    <x v="131"/>
    <x v="1"/>
    <n v="2280"/>
    <n v="10"/>
    <d v="2024-05-17T00:00:00"/>
    <s v="Yes"/>
    <x v="11"/>
  </r>
  <r>
    <n v="8548"/>
    <x v="117"/>
    <x v="2"/>
    <n v="2736"/>
    <n v="12"/>
    <d v="2024-05-17T00:00:00"/>
    <s v="Yes"/>
    <x v="11"/>
  </r>
  <r>
    <n v="8549"/>
    <x v="133"/>
    <x v="2"/>
    <n v="1368"/>
    <n v="6"/>
    <d v="2024-05-17T00:00:00"/>
    <s v="Yes"/>
    <x v="11"/>
  </r>
  <r>
    <n v="8550"/>
    <x v="89"/>
    <x v="4"/>
    <n v="2736"/>
    <n v="6"/>
    <d v="2024-05-17T00:00:00"/>
    <s v="Yes"/>
    <x v="11"/>
  </r>
  <r>
    <n v="8551"/>
    <x v="4"/>
    <x v="3"/>
    <n v="684"/>
    <n v="3"/>
    <d v="2024-05-17T00:00:00"/>
    <s v="Yes"/>
    <x v="11"/>
  </r>
  <r>
    <n v="8552"/>
    <x v="66"/>
    <x v="6"/>
    <n v="912"/>
    <n v="4"/>
    <d v="2024-05-17T00:00:00"/>
    <s v="Yes"/>
    <x v="11"/>
  </r>
  <r>
    <n v="8553"/>
    <x v="163"/>
    <x v="0"/>
    <n v="6224"/>
    <n v="8"/>
    <d v="2024-07-22T00:00:00"/>
    <s v="Yes"/>
    <x v="11"/>
  </r>
  <r>
    <n v="8554"/>
    <x v="164"/>
    <x v="1"/>
    <n v="4104"/>
    <n v="18"/>
    <d v="2024-07-22T00:00:00"/>
    <s v="Yes"/>
    <x v="11"/>
  </r>
  <r>
    <n v="8555"/>
    <x v="102"/>
    <x v="3"/>
    <n v="1368"/>
    <n v="6"/>
    <d v="2024-07-22T00:00:00"/>
    <s v="Yes"/>
    <x v="11"/>
  </r>
  <r>
    <n v="8556"/>
    <x v="103"/>
    <x v="3"/>
    <n v="1140"/>
    <n v="5"/>
    <d v="2024-07-22T00:00:00"/>
    <s v="Yes"/>
    <x v="11"/>
  </r>
  <r>
    <n v="8557"/>
    <x v="165"/>
    <x v="0"/>
    <n v="6224"/>
    <n v="8"/>
    <d v="2024-07-22T00:00:00"/>
    <s v="Yes"/>
    <x v="11"/>
  </r>
  <r>
    <n v="8558"/>
    <x v="166"/>
    <x v="0"/>
    <n v="6224"/>
    <n v="8"/>
    <d v="2024-09-10T00:00:00"/>
    <s v="Yes"/>
    <x v="11"/>
  </r>
  <r>
    <n v="8559"/>
    <x v="107"/>
    <x v="6"/>
    <n v="912"/>
    <n v="4"/>
    <d v="2024-07-22T00:00:00"/>
    <s v="Yes"/>
    <x v="11"/>
  </r>
  <r>
    <n v="8560"/>
    <x v="167"/>
    <x v="0"/>
    <n v="20228"/>
    <n v="26"/>
    <d v="2024-09-10T00:00:00"/>
    <s v="Yes"/>
    <x v="11"/>
  </r>
  <r>
    <n v="8561"/>
    <x v="168"/>
    <x v="0"/>
    <n v="9336"/>
    <n v="12"/>
    <d v="2024-10-25T00:00:00"/>
    <s v="Yes"/>
    <x v="11"/>
  </r>
  <r>
    <n v="8562"/>
    <x v="169"/>
    <x v="0"/>
    <n v="4468"/>
    <n v="6"/>
    <d v="2024-10-25T00:00:00"/>
    <s v="Yes"/>
    <x v="11"/>
  </r>
  <r>
    <n v="8563"/>
    <x v="170"/>
    <x v="0"/>
    <n v="4668"/>
    <n v="6"/>
    <d v="2024-10-25T00:00:00"/>
    <s v="Yes"/>
    <x v="11"/>
  </r>
  <r>
    <n v="8564"/>
    <x v="171"/>
    <x v="0"/>
    <n v="4668"/>
    <n v="6"/>
    <d v="2024-10-25T00:00:00"/>
    <s v="Yes"/>
    <x v="11"/>
  </r>
  <r>
    <n v="8565"/>
    <x v="172"/>
    <x v="0"/>
    <n v="4668"/>
    <n v="6"/>
    <d v="2024-11-13T00:00:00"/>
    <s v="Yes"/>
    <x v="11"/>
  </r>
  <r>
    <n v="8566"/>
    <x v="173"/>
    <x v="0"/>
    <n v="6224"/>
    <n v="8"/>
    <d v="2024-11-13T00:00:00"/>
    <s v="Yes"/>
    <x v="11"/>
  </r>
  <r>
    <n v="8568"/>
    <x v="174"/>
    <x v="0"/>
    <n v="10892"/>
    <n v="14"/>
    <d v="2024-11-13T00:00:00"/>
    <s v="Yes"/>
    <x v="11"/>
  </r>
  <r>
    <n v="8569"/>
    <x v="175"/>
    <x v="0"/>
    <n v="10892"/>
    <n v="14"/>
    <d v="2024-11-22T00:00:00"/>
    <s v="Yes"/>
    <x v="11"/>
  </r>
  <r>
    <n v="8570"/>
    <x v="176"/>
    <x v="0"/>
    <n v="9336"/>
    <n v="12"/>
    <d v="2024-11-22T00:00:00"/>
    <s v="Yes"/>
    <x v="11"/>
  </r>
  <r>
    <n v="8571"/>
    <x v="138"/>
    <x v="1"/>
    <n v="1824"/>
    <n v="8"/>
    <d v="2024-07-22T00:00:00"/>
    <s v="Yes"/>
    <x v="11"/>
  </r>
  <r>
    <n v="8572"/>
    <x v="135"/>
    <x v="1"/>
    <n v="1368"/>
    <n v="6"/>
    <d v="2024-11-13T00:00:00"/>
    <s v="Yes"/>
    <x v="11"/>
  </r>
  <r>
    <n v="8573"/>
    <x v="136"/>
    <x v="1"/>
    <n v="1824"/>
    <n v="8"/>
    <d v="2024-10-25T00:00:00"/>
    <s v="Yes"/>
    <x v="11"/>
  </r>
  <r>
    <n v="8574"/>
    <x v="177"/>
    <x v="1"/>
    <n v="5016"/>
    <n v="22"/>
    <d v="2024-11-22T00:00:00"/>
    <s v="Yes"/>
    <x v="11"/>
  </r>
  <r>
    <n v="8575"/>
    <x v="178"/>
    <x v="0"/>
    <n v="14004"/>
    <n v="18"/>
    <d v="2024-12-30T00:00:00"/>
    <s v="Yes"/>
    <x v="11"/>
  </r>
  <r>
    <n v="8576"/>
    <x v="179"/>
    <x v="4"/>
    <n v="912"/>
    <n v="4"/>
    <d v="2024-07-22T00:00:00"/>
    <s v="Yes"/>
    <x v="11"/>
  </r>
  <r>
    <n v="8577"/>
    <x v="62"/>
    <x v="5"/>
    <n v="1824"/>
    <n v="8"/>
    <d v="2024-11-13T00:00:00"/>
    <s v="Yes"/>
    <x v="11"/>
  </r>
  <r>
    <n v="8578"/>
    <x v="128"/>
    <x v="1"/>
    <n v="912"/>
    <n v="4"/>
    <d v="2024-11-13T00:00:00"/>
    <s v="Yes"/>
    <x v="11"/>
  </r>
  <r>
    <n v="8579"/>
    <x v="47"/>
    <x v="7"/>
    <n v="3648"/>
    <n v="16"/>
    <d v="2024-12-30T00:00:00"/>
    <s v="Yes"/>
    <x v="11"/>
  </r>
  <r>
    <n v="8581"/>
    <x v="48"/>
    <x v="7"/>
    <n v="1368"/>
    <n v="6"/>
    <d v="2024-11-22T00:00:00"/>
    <s v="Yes"/>
    <x v="11"/>
  </r>
  <r>
    <n v="8582"/>
    <x v="106"/>
    <x v="4"/>
    <n v="912"/>
    <n v="4"/>
    <d v="2024-12-30T00:00:00"/>
    <s v="Yes"/>
    <x v="11"/>
  </r>
  <r>
    <n v="8583"/>
    <x v="180"/>
    <x v="1"/>
    <n v="1140"/>
    <n v="5"/>
    <d v="2024-12-30T00:00:00"/>
    <s v="Yes"/>
    <x v="11"/>
  </r>
  <r>
    <n v="8584"/>
    <x v="181"/>
    <x v="0"/>
    <n v="3112"/>
    <n v="4"/>
    <d v="2024-12-30T00:00:00"/>
    <s v="Yes"/>
    <x v="11"/>
  </r>
  <r>
    <n v="8585"/>
    <x v="182"/>
    <x v="0"/>
    <n v="9336"/>
    <n v="12"/>
    <m/>
    <s v="No"/>
    <x v="12"/>
  </r>
  <r>
    <n v="8586"/>
    <x v="89"/>
    <x v="3"/>
    <n v="2736"/>
    <n v="12"/>
    <m/>
    <s v="No"/>
    <x v="12"/>
  </r>
  <r>
    <n v="8587"/>
    <x v="62"/>
    <x v="5"/>
    <n v="1824"/>
    <n v="8"/>
    <d v="2024-12-30T00:00:00"/>
    <s v="Yes"/>
    <x v="11"/>
  </r>
  <r>
    <n v="8588"/>
    <x v="183"/>
    <x v="0"/>
    <n v="10892"/>
    <n v="14"/>
    <m/>
    <s v="No"/>
    <x v="12"/>
  </r>
  <r>
    <n v="8589"/>
    <x v="184"/>
    <x v="1"/>
    <n v="5016"/>
    <n v="22"/>
    <m/>
    <s v="No"/>
    <x v="12"/>
  </r>
  <r>
    <n v="8590"/>
    <x v="57"/>
    <x v="7"/>
    <n v="1824"/>
    <n v="8"/>
    <m/>
    <s v="No"/>
    <x v="12"/>
  </r>
  <r>
    <n v="8591"/>
    <x v="119"/>
    <x v="2"/>
    <n v="4560"/>
    <n v="20"/>
    <m/>
    <s v="No"/>
    <x v="12"/>
  </r>
  <r>
    <n v="8592"/>
    <x v="120"/>
    <x v="2"/>
    <n v="684"/>
    <n v="3"/>
    <m/>
    <s v="No"/>
    <x v="12"/>
  </r>
  <r>
    <n v="8593"/>
    <x v="122"/>
    <x v="2"/>
    <n v="684"/>
    <n v="3"/>
    <m/>
    <s v="No"/>
    <x v="12"/>
  </r>
  <r>
    <n v="8594"/>
    <x v="185"/>
    <x v="0"/>
    <n v="6224"/>
    <n v="8"/>
    <m/>
    <s v="No"/>
    <x v="12"/>
  </r>
  <r>
    <n v="8595"/>
    <x v="186"/>
    <x v="0"/>
    <n v="3112"/>
    <n v="4"/>
    <m/>
    <s v="No"/>
    <x v="12"/>
  </r>
  <r>
    <n v="8596"/>
    <x v="187"/>
    <x v="0"/>
    <n v="9336"/>
    <n v="12"/>
    <m/>
    <s v="No"/>
    <x v="12"/>
  </r>
  <r>
    <n v="8597"/>
    <x v="188"/>
    <x v="0"/>
    <n v="15560"/>
    <n v="20"/>
    <m/>
    <s v="No"/>
    <x v="12"/>
  </r>
  <r>
    <n v="8598"/>
    <x v="189"/>
    <x v="0"/>
    <n v="6224"/>
    <n v="8"/>
    <m/>
    <s v="No"/>
    <x v="12"/>
  </r>
  <r>
    <n v="8599"/>
    <x v="190"/>
    <x v="0"/>
    <n v="9336"/>
    <n v="12"/>
    <m/>
    <s v="No"/>
    <x v="12"/>
  </r>
  <r>
    <n v="8600"/>
    <x v="191"/>
    <x v="0"/>
    <n v="4668"/>
    <n v="6"/>
    <m/>
    <s v="No"/>
    <x v="12"/>
  </r>
  <r>
    <n v="8601"/>
    <x v="192"/>
    <x v="0"/>
    <n v="10892"/>
    <n v="14"/>
    <m/>
    <s v="No"/>
    <x v="12"/>
  </r>
  <r>
    <n v="8602"/>
    <x v="193"/>
    <x v="0"/>
    <n v="3112"/>
    <n v="4"/>
    <m/>
    <s v="No"/>
    <x v="12"/>
  </r>
  <r>
    <n v="8603"/>
    <x v="144"/>
    <x v="1"/>
    <n v="1824"/>
    <n v="8"/>
    <m/>
    <s v="No"/>
    <x v="12"/>
  </r>
  <r>
    <n v="8604"/>
    <x v="145"/>
    <x v="1"/>
    <n v="1368"/>
    <n v="6"/>
    <m/>
    <s v="No"/>
    <x v="12"/>
  </r>
  <r>
    <n v="8605"/>
    <x v="141"/>
    <x v="1"/>
    <n v="912"/>
    <n v="4"/>
    <m/>
    <s v="No"/>
    <x v="12"/>
  </r>
  <r>
    <n v="8606"/>
    <x v="142"/>
    <x v="1"/>
    <n v="1824"/>
    <n v="8"/>
    <m/>
    <s v="No"/>
    <x v="12"/>
  </r>
  <r>
    <n v="8607"/>
    <x v="143"/>
    <x v="1"/>
    <n v="1824"/>
    <n v="8"/>
    <m/>
    <s v="No"/>
    <x v="12"/>
  </r>
  <r>
    <n v="8608"/>
    <x v="124"/>
    <x v="2"/>
    <n v="2280"/>
    <n v="10"/>
    <m/>
    <s v="No"/>
    <x v="12"/>
  </r>
  <r>
    <n v="8609"/>
    <x v="123"/>
    <x v="2"/>
    <n v="912"/>
    <n v="4"/>
    <m/>
    <s v="No"/>
    <x v="12"/>
  </r>
  <r>
    <n v="8610"/>
    <x v="113"/>
    <x v="4"/>
    <n v="3420"/>
    <n v="15"/>
    <m/>
    <s v="No"/>
    <x v="12"/>
  </r>
  <r>
    <n v="8611"/>
    <x v="112"/>
    <x v="4"/>
    <n v="4104"/>
    <n v="18"/>
    <m/>
    <s v="No"/>
    <x v="12"/>
  </r>
  <r>
    <n v="8612"/>
    <x v="115"/>
    <x v="3"/>
    <n v="684"/>
    <n v="3"/>
    <m/>
    <s v="No"/>
    <x v="12"/>
  </r>
  <r>
    <n v="8613"/>
    <x v="109"/>
    <x v="4"/>
    <n v="912"/>
    <n v="4"/>
    <m/>
    <s v="No"/>
    <x v="12"/>
  </r>
  <r>
    <n v="8614"/>
    <x v="111"/>
    <x v="4"/>
    <n v="2280"/>
    <n v="10"/>
    <m/>
    <s v="No"/>
    <x v="12"/>
  </r>
  <r>
    <n v="8615"/>
    <x v="110"/>
    <x v="4"/>
    <n v="2280"/>
    <n v="10"/>
    <m/>
    <s v="No"/>
    <x v="12"/>
  </r>
  <r>
    <n v="8616"/>
    <x v="95"/>
    <x v="3"/>
    <n v="1596"/>
    <n v="7"/>
    <m/>
    <s v="No"/>
    <x v="12"/>
  </r>
  <r>
    <n v="8617"/>
    <x v="94"/>
    <x v="3"/>
    <n v="1140"/>
    <n v="5"/>
    <m/>
    <s v="No"/>
    <x v="12"/>
  </r>
  <r>
    <n v="8618"/>
    <x v="125"/>
    <x v="3"/>
    <n v="912"/>
    <n v="4"/>
    <m/>
    <s v="No"/>
    <x v="12"/>
  </r>
  <r>
    <n v="8619"/>
    <x v="18"/>
    <x v="3"/>
    <n v="1824"/>
    <n v="8"/>
    <m/>
    <s v="No"/>
    <x v="12"/>
  </r>
  <r>
    <n v="8620"/>
    <x v="85"/>
    <x v="5"/>
    <n v="2508"/>
    <n v="11"/>
    <m/>
    <s v="No"/>
    <x v="12"/>
  </r>
  <r>
    <n v="8621"/>
    <x v="97"/>
    <x v="5"/>
    <n v="912"/>
    <n v="4"/>
    <m/>
    <s v="No"/>
    <x v="12"/>
  </r>
  <r>
    <n v="8622"/>
    <x v="127"/>
    <x v="7"/>
    <n v="912"/>
    <n v="4"/>
    <m/>
    <s v="No"/>
    <x v="12"/>
  </r>
  <r>
    <n v="8623"/>
    <x v="53"/>
    <x v="7"/>
    <n v="912"/>
    <n v="4"/>
    <m/>
    <s v="No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39C8F-746A-4F6B-B226-51B192E189B9}" name="PivotTable2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J198" firstHeaderRow="1" firstDataRow="2" firstDataCol="1"/>
  <pivotFields count="8">
    <pivotField compact="0" outline="0" showAll="0"/>
    <pivotField axis="axisRow" compact="0" outline="0" showAll="0" sortType="descending">
      <items count="196">
        <item x="188"/>
        <item m="1" x="194"/>
        <item x="175"/>
        <item x="179"/>
        <item x="78"/>
        <item x="29"/>
        <item x="105"/>
        <item x="189"/>
        <item x="113"/>
        <item x="81"/>
        <item x="89"/>
        <item x="191"/>
        <item x="102"/>
        <item x="91"/>
        <item x="184"/>
        <item x="139"/>
        <item x="153"/>
        <item x="156"/>
        <item x="193"/>
        <item x="151"/>
        <item x="162"/>
        <item x="180"/>
        <item x="158"/>
        <item x="159"/>
        <item x="157"/>
        <item x="137"/>
        <item x="152"/>
        <item x="155"/>
        <item x="182"/>
        <item x="103"/>
        <item x="172"/>
        <item x="83"/>
        <item x="82"/>
        <item x="61"/>
        <item x="47"/>
        <item x="178"/>
        <item x="116"/>
        <item x="112"/>
        <item x="185"/>
        <item x="167"/>
        <item x="168"/>
        <item x="88"/>
        <item x="124"/>
        <item x="177"/>
        <item x="190"/>
        <item x="6"/>
        <item x="176"/>
        <item x="85"/>
        <item x="174"/>
        <item x="164"/>
        <item x="130"/>
        <item x="15"/>
        <item x="62"/>
        <item x="84"/>
        <item x="119"/>
        <item x="138"/>
        <item x="187"/>
        <item x="183"/>
        <item x="95"/>
        <item x="42"/>
        <item x="129"/>
        <item x="45"/>
        <item x="77"/>
        <item x="41"/>
        <item x="21"/>
        <item x="67"/>
        <item x="17"/>
        <item x="115"/>
        <item x="181"/>
        <item x="128"/>
        <item x="120"/>
        <item x="4"/>
        <item x="99"/>
        <item x="123"/>
        <item x="49"/>
        <item x="122"/>
        <item x="133"/>
        <item x="86"/>
        <item x="97"/>
        <item x="126"/>
        <item x="104"/>
        <item x="147"/>
        <item x="0"/>
        <item x="134"/>
        <item x="106"/>
        <item x="140"/>
        <item x="118"/>
        <item x="142"/>
        <item x="66"/>
        <item x="48"/>
        <item x="135"/>
        <item x="1"/>
        <item x="141"/>
        <item x="169"/>
        <item x="186"/>
        <item x="149"/>
        <item x="148"/>
        <item x="165"/>
        <item x="44"/>
        <item x="7"/>
        <item x="87"/>
        <item x="109"/>
        <item x="192"/>
        <item x="98"/>
        <item x="132"/>
        <item x="94"/>
        <item x="171"/>
        <item x="173"/>
        <item x="100"/>
        <item x="146"/>
        <item x="14"/>
        <item x="33"/>
        <item x="34"/>
        <item x="59"/>
        <item x="13"/>
        <item x="36"/>
        <item x="2"/>
        <item x="117"/>
        <item x="166"/>
        <item x="19"/>
        <item x="5"/>
        <item x="96"/>
        <item x="68"/>
        <item x="24"/>
        <item x="108"/>
        <item x="28"/>
        <item x="32"/>
        <item x="72"/>
        <item x="70"/>
        <item x="52"/>
        <item x="50"/>
        <item x="75"/>
        <item x="40"/>
        <item x="37"/>
        <item x="65"/>
        <item x="16"/>
        <item x="46"/>
        <item x="60"/>
        <item x="69"/>
        <item x="76"/>
        <item x="154"/>
        <item x="63"/>
        <item x="10"/>
        <item x="43"/>
        <item x="58"/>
        <item x="30"/>
        <item x="9"/>
        <item x="73"/>
        <item x="25"/>
        <item x="11"/>
        <item x="38"/>
        <item x="39"/>
        <item x="121"/>
        <item x="74"/>
        <item x="22"/>
        <item x="57"/>
        <item x="53"/>
        <item x="92"/>
        <item x="55"/>
        <item x="71"/>
        <item x="54"/>
        <item x="26"/>
        <item x="31"/>
        <item x="23"/>
        <item x="64"/>
        <item x="93"/>
        <item x="56"/>
        <item x="90"/>
        <item x="20"/>
        <item x="12"/>
        <item x="35"/>
        <item x="51"/>
        <item x="143"/>
        <item x="80"/>
        <item x="127"/>
        <item x="27"/>
        <item x="79"/>
        <item x="150"/>
        <item x="131"/>
        <item x="111"/>
        <item x="145"/>
        <item x="110"/>
        <item x="101"/>
        <item x="18"/>
        <item x="136"/>
        <item x="170"/>
        <item x="144"/>
        <item x="161"/>
        <item x="160"/>
        <item x="163"/>
        <item x="8"/>
        <item x="3"/>
        <item x="125"/>
        <item x="114"/>
        <item x="1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9">
        <item x="0"/>
        <item x="1"/>
        <item x="2"/>
        <item x="4"/>
        <item x="3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95">
    <i>
      <x v="33"/>
    </i>
    <i>
      <x v="34"/>
    </i>
    <i>
      <x v="13"/>
    </i>
    <i>
      <x v="37"/>
    </i>
    <i>
      <x v="54"/>
    </i>
    <i>
      <x v="10"/>
    </i>
    <i>
      <x v="8"/>
    </i>
    <i>
      <x v="89"/>
    </i>
    <i>
      <x v="53"/>
    </i>
    <i>
      <x v="47"/>
    </i>
    <i>
      <x v="39"/>
    </i>
    <i>
      <x v="52"/>
    </i>
    <i>
      <x v="71"/>
    </i>
    <i>
      <x v="25"/>
    </i>
    <i>
      <x v="155"/>
    </i>
    <i>
      <x/>
    </i>
    <i>
      <x v="183"/>
    </i>
    <i>
      <x v="117"/>
    </i>
    <i>
      <x v="179"/>
    </i>
    <i>
      <x v="181"/>
    </i>
    <i>
      <x v="50"/>
    </i>
    <i>
      <x v="35"/>
    </i>
    <i>
      <x v="41"/>
    </i>
    <i>
      <x v="27"/>
    </i>
    <i>
      <x v="42"/>
    </i>
    <i>
      <x v="36"/>
    </i>
    <i>
      <x v="58"/>
    </i>
    <i>
      <x v="88"/>
    </i>
    <i>
      <x v="135"/>
    </i>
    <i>
      <x v="98"/>
    </i>
    <i>
      <x v="102"/>
    </i>
    <i>
      <x v="48"/>
    </i>
    <i>
      <x v="23"/>
    </i>
    <i>
      <x v="57"/>
    </i>
    <i>
      <x v="2"/>
    </i>
    <i>
      <x v="101"/>
    </i>
    <i>
      <x v="166"/>
    </i>
    <i>
      <x v="31"/>
    </i>
    <i>
      <x v="103"/>
    </i>
    <i>
      <x v="22"/>
    </i>
    <i>
      <x v="178"/>
    </i>
    <i>
      <x v="156"/>
    </i>
    <i>
      <x v="32"/>
    </i>
    <i>
      <x v="5"/>
    </i>
    <i>
      <x v="26"/>
    </i>
    <i>
      <x v="19"/>
    </i>
    <i>
      <x v="96"/>
    </i>
    <i>
      <x v="28"/>
    </i>
    <i>
      <x v="40"/>
    </i>
    <i>
      <x v="44"/>
    </i>
    <i>
      <x v="46"/>
    </i>
    <i>
      <x v="56"/>
    </i>
    <i>
      <x v="133"/>
    </i>
    <i>
      <x v="80"/>
    </i>
    <i>
      <x v="45"/>
    </i>
    <i>
      <x v="12"/>
    </i>
    <i>
      <x v="148"/>
    </i>
    <i>
      <x v="99"/>
    </i>
    <i>
      <x v="114"/>
    </i>
    <i>
      <x v="105"/>
    </i>
    <i>
      <x v="186"/>
    </i>
    <i>
      <x v="172"/>
    </i>
    <i>
      <x v="184"/>
    </i>
    <i>
      <x v="55"/>
    </i>
    <i>
      <x v="146"/>
    </i>
    <i>
      <x v="161"/>
    </i>
    <i>
      <x v="24"/>
    </i>
    <i>
      <x v="16"/>
    </i>
    <i>
      <x v="95"/>
    </i>
    <i>
      <x v="140"/>
    </i>
    <i>
      <x v="126"/>
    </i>
    <i>
      <x v="100"/>
    </i>
    <i>
      <x v="160"/>
    </i>
    <i>
      <x v="29"/>
    </i>
    <i>
      <x v="169"/>
    </i>
    <i>
      <x v="142"/>
    </i>
    <i>
      <x v="149"/>
    </i>
    <i>
      <x v="61"/>
    </i>
    <i>
      <x v="182"/>
    </i>
    <i>
      <x v="175"/>
    </i>
    <i>
      <x v="9"/>
    </i>
    <i>
      <x v="170"/>
    </i>
    <i>
      <x v="141"/>
    </i>
    <i>
      <x v="120"/>
    </i>
    <i>
      <x v="158"/>
    </i>
    <i>
      <x v="137"/>
    </i>
    <i>
      <x v="118"/>
    </i>
    <i>
      <x v="107"/>
    </i>
    <i>
      <x v="20"/>
    </i>
    <i>
      <x v="17"/>
    </i>
    <i>
      <x v="7"/>
    </i>
    <i>
      <x v="38"/>
    </i>
    <i>
      <x v="188"/>
    </i>
    <i>
      <x v="187"/>
    </i>
    <i>
      <x v="189"/>
    </i>
    <i>
      <x v="65"/>
    </i>
    <i>
      <x v="97"/>
    </i>
    <i>
      <x v="66"/>
    </i>
    <i>
      <x v="171"/>
    </i>
    <i>
      <x v="90"/>
    </i>
    <i>
      <x v="180"/>
    </i>
    <i>
      <x v="104"/>
    </i>
    <i>
      <x v="63"/>
    </i>
    <i>
      <x v="123"/>
    </i>
    <i>
      <x v="147"/>
    </i>
    <i>
      <x v="176"/>
    </i>
    <i>
      <x v="173"/>
    </i>
    <i>
      <x v="72"/>
    </i>
    <i>
      <x v="122"/>
    </i>
    <i>
      <x v="134"/>
    </i>
    <i>
      <x v="87"/>
    </i>
    <i>
      <x v="129"/>
    </i>
    <i>
      <x v="153"/>
    </i>
    <i>
      <x v="191"/>
    </i>
    <i>
      <x v="14"/>
    </i>
    <i>
      <x v="43"/>
    </i>
    <i>
      <x v="110"/>
    </i>
    <i>
      <x v="168"/>
    </i>
    <i>
      <x v="145"/>
    </i>
    <i>
      <x v="84"/>
    </i>
    <i>
      <x v="115"/>
    </i>
    <i>
      <x v="119"/>
    </i>
    <i>
      <x v="163"/>
    </i>
    <i>
      <x v="111"/>
    </i>
    <i>
      <x v="73"/>
    </i>
    <i>
      <x v="136"/>
    </i>
    <i>
      <x v="185"/>
    </i>
    <i>
      <x v="86"/>
    </i>
    <i>
      <x v="11"/>
    </i>
    <i>
      <x v="106"/>
    </i>
    <i>
      <x v="30"/>
    </i>
    <i>
      <x v="81"/>
    </i>
    <i>
      <x v="59"/>
    </i>
    <i>
      <x v="162"/>
    </i>
    <i>
      <x v="93"/>
    </i>
    <i>
      <x v="67"/>
    </i>
    <i>
      <x v="130"/>
    </i>
    <i>
      <x v="124"/>
    </i>
    <i>
      <x v="151"/>
    </i>
    <i>
      <x v="49"/>
    </i>
    <i>
      <x v="92"/>
    </i>
    <i>
      <x v="74"/>
    </i>
    <i>
      <x v="132"/>
    </i>
    <i>
      <x v="69"/>
    </i>
    <i>
      <x v="60"/>
    </i>
    <i>
      <x v="143"/>
    </i>
    <i>
      <x v="177"/>
    </i>
    <i>
      <x v="70"/>
    </i>
    <i>
      <x v="139"/>
    </i>
    <i>
      <x v="108"/>
    </i>
    <i>
      <x v="75"/>
    </i>
    <i>
      <x v="78"/>
    </i>
    <i>
      <x v="116"/>
    </i>
    <i>
      <x v="91"/>
    </i>
    <i>
      <x v="82"/>
    </i>
    <i>
      <x v="6"/>
    </i>
    <i>
      <x v="128"/>
    </i>
    <i>
      <x v="68"/>
    </i>
    <i>
      <x v="77"/>
    </i>
    <i>
      <x v="131"/>
    </i>
    <i>
      <x v="150"/>
    </i>
    <i>
      <x v="94"/>
    </i>
    <i>
      <x v="18"/>
    </i>
    <i>
      <x v="164"/>
    </i>
    <i>
      <x v="62"/>
    </i>
    <i>
      <x v="154"/>
    </i>
    <i>
      <x v="51"/>
    </i>
    <i>
      <x v="190"/>
    </i>
    <i>
      <x v="83"/>
    </i>
    <i>
      <x v="194"/>
    </i>
    <i>
      <x v="76"/>
    </i>
    <i>
      <x v="192"/>
    </i>
    <i>
      <x v="174"/>
    </i>
    <i>
      <x v="125"/>
    </i>
    <i>
      <x v="64"/>
    </i>
    <i>
      <x v="112"/>
    </i>
    <i>
      <x v="121"/>
    </i>
    <i>
      <x v="165"/>
    </i>
    <i>
      <x v="15"/>
    </i>
    <i>
      <x v="157"/>
    </i>
    <i>
      <x v="138"/>
    </i>
    <i>
      <x v="127"/>
    </i>
    <i>
      <x v="159"/>
    </i>
    <i>
      <x v="4"/>
    </i>
    <i>
      <x v="21"/>
    </i>
    <i>
      <x v="144"/>
    </i>
    <i>
      <x v="152"/>
    </i>
    <i>
      <x v="79"/>
    </i>
    <i>
      <x v="113"/>
    </i>
    <i>
      <x v="193"/>
    </i>
    <i>
      <x v="3"/>
    </i>
    <i>
      <x v="85"/>
    </i>
    <i>
      <x v="167"/>
    </i>
    <i>
      <x v="109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Payment amount" fld="3" baseField="0" baseItem="0"/>
  </dataFields>
  <formats count="26"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1" count="50">
            <x v="0"/>
            <x v="2"/>
            <x v="5"/>
            <x v="8"/>
            <x v="10"/>
            <x v="13"/>
            <x v="19"/>
            <x v="22"/>
            <x v="23"/>
            <x v="25"/>
            <x v="26"/>
            <x v="27"/>
            <x v="28"/>
            <x v="31"/>
            <x v="32"/>
            <x v="33"/>
            <x v="34"/>
            <x v="35"/>
            <x v="36"/>
            <x v="37"/>
            <x v="39"/>
            <x v="41"/>
            <x v="42"/>
            <x v="44"/>
            <x v="47"/>
            <x v="48"/>
            <x v="50"/>
            <x v="52"/>
            <x v="53"/>
            <x v="54"/>
            <x v="57"/>
            <x v="58"/>
            <x v="71"/>
            <x v="88"/>
            <x v="89"/>
            <x v="96"/>
            <x v="98"/>
            <x v="101"/>
            <x v="102"/>
            <x v="103"/>
            <x v="114"/>
            <x v="117"/>
            <x v="135"/>
            <x v="155"/>
            <x v="156"/>
            <x v="166"/>
            <x v="178"/>
            <x v="179"/>
            <x v="181"/>
            <x v="183"/>
          </reference>
        </references>
      </pivotArea>
    </format>
    <format dxfId="21">
      <pivotArea dataOnly="0" labelOnly="1" outline="0" fieldPosition="0">
        <references count="1">
          <reference field="1" count="50">
            <x v="7"/>
            <x v="9"/>
            <x v="12"/>
            <x v="16"/>
            <x v="17"/>
            <x v="20"/>
            <x v="24"/>
            <x v="29"/>
            <x v="38"/>
            <x v="40"/>
            <x v="45"/>
            <x v="46"/>
            <x v="55"/>
            <x v="56"/>
            <x v="61"/>
            <x v="65"/>
            <x v="66"/>
            <x v="80"/>
            <x v="90"/>
            <x v="95"/>
            <x v="97"/>
            <x v="99"/>
            <x v="100"/>
            <x v="105"/>
            <x v="107"/>
            <x v="118"/>
            <x v="120"/>
            <x v="126"/>
            <x v="133"/>
            <x v="137"/>
            <x v="140"/>
            <x v="141"/>
            <x v="142"/>
            <x v="146"/>
            <x v="148"/>
            <x v="149"/>
            <x v="158"/>
            <x v="160"/>
            <x v="161"/>
            <x v="169"/>
            <x v="170"/>
            <x v="171"/>
            <x v="172"/>
            <x v="175"/>
            <x v="182"/>
            <x v="184"/>
            <x v="186"/>
            <x v="187"/>
            <x v="188"/>
            <x v="189"/>
          </reference>
        </references>
      </pivotArea>
    </format>
    <format dxfId="22">
      <pivotArea dataOnly="0" labelOnly="1" outline="0" fieldPosition="0">
        <references count="1">
          <reference field="1" count="50">
            <x v="11"/>
            <x v="14"/>
            <x v="30"/>
            <x v="43"/>
            <x v="49"/>
            <x v="59"/>
            <x v="60"/>
            <x v="63"/>
            <x v="67"/>
            <x v="69"/>
            <x v="70"/>
            <x v="72"/>
            <x v="73"/>
            <x v="74"/>
            <x v="75"/>
            <x v="81"/>
            <x v="84"/>
            <x v="86"/>
            <x v="87"/>
            <x v="92"/>
            <x v="93"/>
            <x v="104"/>
            <x v="106"/>
            <x v="108"/>
            <x v="110"/>
            <x v="111"/>
            <x v="115"/>
            <x v="119"/>
            <x v="122"/>
            <x v="123"/>
            <x v="124"/>
            <x v="129"/>
            <x v="130"/>
            <x v="132"/>
            <x v="134"/>
            <x v="136"/>
            <x v="143"/>
            <x v="145"/>
            <x v="147"/>
            <x v="151"/>
            <x v="153"/>
            <x v="162"/>
            <x v="163"/>
            <x v="168"/>
            <x v="173"/>
            <x v="176"/>
            <x v="177"/>
            <x v="180"/>
            <x v="185"/>
            <x v="191"/>
          </reference>
        </references>
      </pivotArea>
    </format>
    <format dxfId="23">
      <pivotArea dataOnly="0" labelOnly="1" outline="0" fieldPosition="0">
        <references count="1">
          <reference field="1" count="45">
            <x v="1"/>
            <x v="3"/>
            <x v="4"/>
            <x v="6"/>
            <x v="15"/>
            <x v="18"/>
            <x v="21"/>
            <x v="51"/>
            <x v="62"/>
            <x v="64"/>
            <x v="68"/>
            <x v="76"/>
            <x v="77"/>
            <x v="78"/>
            <x v="79"/>
            <x v="82"/>
            <x v="83"/>
            <x v="85"/>
            <x v="91"/>
            <x v="94"/>
            <x v="109"/>
            <x v="112"/>
            <x v="113"/>
            <x v="116"/>
            <x v="121"/>
            <x v="125"/>
            <x v="127"/>
            <x v="128"/>
            <x v="131"/>
            <x v="138"/>
            <x v="139"/>
            <x v="144"/>
            <x v="150"/>
            <x v="152"/>
            <x v="154"/>
            <x v="157"/>
            <x v="159"/>
            <x v="164"/>
            <x v="165"/>
            <x v="167"/>
            <x v="174"/>
            <x v="190"/>
            <x v="192"/>
            <x v="193"/>
            <x v="194"/>
          </reference>
        </references>
      </pivotArea>
    </format>
    <format dxfId="24">
      <pivotArea dataOnly="0" labelOnly="1" grandRow="1" outline="0" fieldPosition="0"/>
    </format>
    <format dxfId="25">
      <pivotArea dataOnly="0" labelOnly="1" outline="0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7">
      <pivotArea type="all" dataOnly="0" outline="0" fieldPosition="0"/>
    </format>
    <format dxfId="28">
      <pivotArea outline="0" collapsedLevelsAreSubtotals="1" fieldPosition="0"/>
    </format>
    <format dxfId="29">
      <pivotArea type="origin" dataOnly="0" labelOnly="1" outline="0" fieldPosition="0"/>
    </format>
    <format dxfId="30">
      <pivotArea field="2" type="button" dataOnly="0" labelOnly="1" outline="0" axis="axisCol" fieldPosition="0"/>
    </format>
    <format dxfId="31">
      <pivotArea type="topRight" dataOnly="0" labelOnly="1" outline="0" fieldPosition="0"/>
    </format>
    <format dxfId="32">
      <pivotArea field="1" type="button" dataOnly="0" labelOnly="1" outline="0" axis="axisRow" fieldPosition="0"/>
    </format>
    <format dxfId="33">
      <pivotArea dataOnly="0" labelOnly="1" outline="0" fieldPosition="0">
        <references count="1">
          <reference field="1" count="50">
            <x v="0"/>
            <x v="2"/>
            <x v="5"/>
            <x v="8"/>
            <x v="10"/>
            <x v="13"/>
            <x v="19"/>
            <x v="22"/>
            <x v="23"/>
            <x v="25"/>
            <x v="26"/>
            <x v="27"/>
            <x v="28"/>
            <x v="31"/>
            <x v="32"/>
            <x v="33"/>
            <x v="34"/>
            <x v="35"/>
            <x v="36"/>
            <x v="37"/>
            <x v="39"/>
            <x v="41"/>
            <x v="42"/>
            <x v="44"/>
            <x v="47"/>
            <x v="48"/>
            <x v="50"/>
            <x v="52"/>
            <x v="53"/>
            <x v="54"/>
            <x v="57"/>
            <x v="58"/>
            <x v="71"/>
            <x v="88"/>
            <x v="89"/>
            <x v="96"/>
            <x v="98"/>
            <x v="101"/>
            <x v="102"/>
            <x v="103"/>
            <x v="114"/>
            <x v="117"/>
            <x v="135"/>
            <x v="155"/>
            <x v="156"/>
            <x v="166"/>
            <x v="178"/>
            <x v="179"/>
            <x v="181"/>
            <x v="183"/>
          </reference>
        </references>
      </pivotArea>
    </format>
    <format dxfId="34">
      <pivotArea dataOnly="0" labelOnly="1" outline="0" fieldPosition="0">
        <references count="1">
          <reference field="1" count="50">
            <x v="7"/>
            <x v="9"/>
            <x v="12"/>
            <x v="16"/>
            <x v="17"/>
            <x v="20"/>
            <x v="24"/>
            <x v="29"/>
            <x v="38"/>
            <x v="40"/>
            <x v="45"/>
            <x v="46"/>
            <x v="55"/>
            <x v="56"/>
            <x v="61"/>
            <x v="65"/>
            <x v="66"/>
            <x v="80"/>
            <x v="90"/>
            <x v="95"/>
            <x v="97"/>
            <x v="99"/>
            <x v="100"/>
            <x v="105"/>
            <x v="107"/>
            <x v="118"/>
            <x v="120"/>
            <x v="126"/>
            <x v="133"/>
            <x v="137"/>
            <x v="140"/>
            <x v="141"/>
            <x v="142"/>
            <x v="146"/>
            <x v="148"/>
            <x v="149"/>
            <x v="158"/>
            <x v="160"/>
            <x v="161"/>
            <x v="169"/>
            <x v="170"/>
            <x v="171"/>
            <x v="172"/>
            <x v="175"/>
            <x v="182"/>
            <x v="184"/>
            <x v="186"/>
            <x v="187"/>
            <x v="188"/>
            <x v="189"/>
          </reference>
        </references>
      </pivotArea>
    </format>
    <format dxfId="35">
      <pivotArea dataOnly="0" labelOnly="1" outline="0" fieldPosition="0">
        <references count="1">
          <reference field="1" count="50">
            <x v="11"/>
            <x v="14"/>
            <x v="30"/>
            <x v="43"/>
            <x v="49"/>
            <x v="59"/>
            <x v="60"/>
            <x v="63"/>
            <x v="67"/>
            <x v="69"/>
            <x v="70"/>
            <x v="72"/>
            <x v="73"/>
            <x v="74"/>
            <x v="75"/>
            <x v="81"/>
            <x v="84"/>
            <x v="86"/>
            <x v="87"/>
            <x v="92"/>
            <x v="93"/>
            <x v="104"/>
            <x v="106"/>
            <x v="108"/>
            <x v="110"/>
            <x v="111"/>
            <x v="115"/>
            <x v="119"/>
            <x v="122"/>
            <x v="123"/>
            <x v="124"/>
            <x v="129"/>
            <x v="130"/>
            <x v="132"/>
            <x v="134"/>
            <x v="136"/>
            <x v="143"/>
            <x v="145"/>
            <x v="147"/>
            <x v="151"/>
            <x v="153"/>
            <x v="162"/>
            <x v="163"/>
            <x v="168"/>
            <x v="173"/>
            <x v="176"/>
            <x v="177"/>
            <x v="180"/>
            <x v="185"/>
            <x v="191"/>
          </reference>
        </references>
      </pivotArea>
    </format>
    <format dxfId="36">
      <pivotArea dataOnly="0" labelOnly="1" outline="0" fieldPosition="0">
        <references count="1">
          <reference field="1" count="45">
            <x v="1"/>
            <x v="3"/>
            <x v="4"/>
            <x v="6"/>
            <x v="15"/>
            <x v="18"/>
            <x v="21"/>
            <x v="51"/>
            <x v="62"/>
            <x v="64"/>
            <x v="68"/>
            <x v="76"/>
            <x v="77"/>
            <x v="78"/>
            <x v="79"/>
            <x v="82"/>
            <x v="83"/>
            <x v="85"/>
            <x v="91"/>
            <x v="94"/>
            <x v="109"/>
            <x v="112"/>
            <x v="113"/>
            <x v="116"/>
            <x v="121"/>
            <x v="125"/>
            <x v="127"/>
            <x v="128"/>
            <x v="131"/>
            <x v="138"/>
            <x v="139"/>
            <x v="144"/>
            <x v="150"/>
            <x v="152"/>
            <x v="154"/>
            <x v="157"/>
            <x v="159"/>
            <x v="164"/>
            <x v="165"/>
            <x v="167"/>
            <x v="174"/>
            <x v="190"/>
            <x v="192"/>
            <x v="193"/>
            <x v="194"/>
          </reference>
        </references>
      </pivotArea>
    </format>
    <format dxfId="37">
      <pivotArea dataOnly="0" labelOnly="1" grandRow="1" outline="0" fieldPosition="0"/>
    </format>
    <format dxfId="38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0D7DE-D605-4B3D-8569-9E3079F2A295}" name="PivotTable1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B16" firstHeaderRow="1" firstDataRow="1" firstDataCol="1"/>
  <pivotFields count="8">
    <pivotField compact="0" outline="0" showAll="0"/>
    <pivotField compact="0" outline="0" showAll="0"/>
    <pivotField compact="0" outline="0" showAll="0">
      <items count="9">
        <item x="0"/>
        <item x="1"/>
        <item x="2"/>
        <item x="4"/>
        <item x="3"/>
        <item x="5"/>
        <item x="6"/>
        <item x="7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4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t="default"/>
      </items>
    </pivotField>
  </pivotFields>
  <rowFields count="1">
    <field x="7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ayment amount" fld="3" baseField="0" baseItem="0"/>
  </dataFields>
  <formats count="14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2" type="button" dataOnly="0" labelOnly="1" outline="0"/>
    </format>
    <format dxfId="4">
      <pivotArea type="topRight" dataOnly="0" labelOnly="1" outline="0" fieldPosition="0"/>
    </format>
    <format dxfId="5">
      <pivotArea field="7" type="button" dataOnly="0" labelOnly="1" outline="0" axis="axisRow" fieldPosition="0"/>
    </format>
    <format dxfId="6">
      <pivotArea dataOnly="0" labelOnly="1" outline="0" fieldPosition="0">
        <references count="1">
          <reference field="7" count="0"/>
        </references>
      </pivotArea>
    </format>
    <format dxfId="7">
      <pivotArea dataOnly="0" labelOnly="1" grandRow="1" outline="0" fieldPosition="0"/>
    </format>
    <format dxfId="8">
      <pivotArea dataOnly="0" labelOnly="1" grandCol="1" outline="0" fieldPosition="0"/>
    </format>
    <format dxfId="9">
      <pivotArea outline="0" collapsedLevelsAreSubtotals="1" fieldPosition="0"/>
    </format>
    <format dxfId="10">
      <pivotArea field="7" type="button" dataOnly="0" labelOnly="1" outline="0" axis="axisRow" fieldPosition="0"/>
    </format>
    <format dxfId="11">
      <pivotArea dataOnly="0" labelOnly="1" outline="0" fieldPosition="0">
        <references count="1">
          <reference field="7" count="0"/>
        </references>
      </pivotArea>
    </format>
    <format dxfId="12">
      <pivotArea dataOnly="0" labelOnly="1" grandRow="1" outline="0" fieldPosition="0"/>
    </format>
    <format dxfId="13">
      <pivotArea dataOnly="0" labelOnly="1" grandCol="1" outline="0" fieldPosition="0"/>
    </format>
  </formats>
  <chartFormats count="1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26" dT="2024-10-09T09:06:44.61" personId="{38EAD129-A012-4D88-919A-3612E973B351}" id="{1E7F3523-4377-435F-A76A-0FE4870D389E}">
    <text>FEB’18 – FEB’19 (installation OKT’17 but up&amp;running since FEB’18)</text>
  </threadedComment>
  <threadedComment ref="L126" dT="2024-10-09T09:07:33.66" personId="{38EAD129-A012-4D88-919A-3612E973B351}" id="{5528ECE7-919B-4157-A1EE-9FF65E439906}">
    <text>Feb 19 - Feb 20</text>
  </threadedComment>
  <threadedComment ref="M126" dT="2024-10-09T09:07:17.75" personId="{38EAD129-A012-4D88-919A-3612E973B351}" id="{F5CB2F8D-7FC2-4EED-8747-E5B774C345E6}">
    <text>Feb 20 - Feb 21</text>
  </threadedComment>
  <threadedComment ref="N126" dT="2024-10-09T09:06:03.95" personId="{38EAD129-A012-4D88-919A-3612E973B351}" id="{7D001639-8A1E-46FC-BBCF-5AB558C45C20}">
    <text>Feb 21 - Feb 22</text>
  </threadedComment>
  <threadedComment ref="O126" dT="2024-10-09T09:05:42.05" personId="{38EAD129-A012-4D88-919A-3612E973B351}" id="{89E39366-E92D-46A9-B031-5760C8A07185}">
    <text>Feb 23 - Feb 24</text>
  </threadedComment>
  <threadedComment ref="Q126" dT="2024-10-09T09:05:21.19" personId="{38EAD129-A012-4D88-919A-3612E973B351}" id="{2A096C3A-FD81-4532-8F80-59D0290E9603}">
    <text>Feb 24 - Feb 25</text>
  </threadedComment>
  <threadedComment ref="R126" dT="2024-10-09T09:04:45.58" personId="{38EAD129-A012-4D88-919A-3612E973B351}" id="{3283DA82-6AED-402F-B859-6C21F9DF9A38}">
    <text xml:space="preserve">Feb 22-Feb 23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A5D7-03C0-44A8-A055-14FABE14B27D}">
  <dimension ref="A1:V570"/>
  <sheetViews>
    <sheetView workbookViewId="0">
      <selection activeCell="A2" sqref="A2"/>
    </sheetView>
  </sheetViews>
  <sheetFormatPr defaultRowHeight="15"/>
  <cols>
    <col min="1" max="1" width="35.85546875" customWidth="1"/>
    <col min="3" max="3" width="10.7109375" bestFit="1" customWidth="1"/>
    <col min="4" max="4" width="18.7109375" customWidth="1"/>
    <col min="5" max="5" width="18.7109375" bestFit="1" customWidth="1"/>
    <col min="6" max="6" width="17.140625" bestFit="1" customWidth="1"/>
    <col min="7" max="7" width="21.140625" style="6" bestFit="1" customWidth="1"/>
    <col min="8" max="8" width="28.28515625" customWidth="1"/>
    <col min="9" max="9" width="25.7109375" customWidth="1"/>
    <col min="10" max="10" width="15.42578125" style="72" customWidth="1"/>
    <col min="11" max="11" width="16" bestFit="1" customWidth="1"/>
    <col min="21" max="21" width="14.5703125" bestFit="1" customWidth="1"/>
    <col min="22" max="22" width="30.5703125" style="141" bestFit="1" customWidth="1"/>
  </cols>
  <sheetData>
    <row r="1" spans="1:22" ht="15.75">
      <c r="A1" s="1" t="s">
        <v>0</v>
      </c>
      <c r="B1" s="1" t="s">
        <v>1</v>
      </c>
      <c r="C1" s="1" t="s">
        <v>2</v>
      </c>
      <c r="D1" s="84" t="s">
        <v>3</v>
      </c>
      <c r="E1" s="1" t="s">
        <v>4</v>
      </c>
      <c r="F1" s="1" t="s">
        <v>5</v>
      </c>
      <c r="G1" s="104" t="s">
        <v>6</v>
      </c>
      <c r="H1" s="103" t="s">
        <v>7</v>
      </c>
      <c r="I1" s="146" t="s">
        <v>8</v>
      </c>
      <c r="J1" s="1" t="s">
        <v>9</v>
      </c>
      <c r="K1" s="99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3" t="s">
        <v>18</v>
      </c>
      <c r="T1" s="2" t="s">
        <v>19</v>
      </c>
      <c r="U1" s="81" t="s">
        <v>20</v>
      </c>
      <c r="V1" s="81" t="s">
        <v>21</v>
      </c>
    </row>
    <row r="2" spans="1:22" ht="15.75">
      <c r="A2" s="85" t="s">
        <v>22</v>
      </c>
      <c r="B2" s="4" t="s">
        <v>23</v>
      </c>
      <c r="C2" s="5">
        <v>2</v>
      </c>
      <c r="D2" s="5" t="s">
        <v>24</v>
      </c>
      <c r="E2" s="5">
        <v>2026</v>
      </c>
      <c r="F2" s="1"/>
      <c r="G2" s="104"/>
      <c r="H2" s="7" t="s">
        <v>25</v>
      </c>
      <c r="I2" s="146"/>
      <c r="J2" s="48" t="s">
        <v>26</v>
      </c>
      <c r="K2" s="151">
        <v>8670</v>
      </c>
      <c r="L2" s="1"/>
      <c r="M2" s="1"/>
      <c r="N2" s="1"/>
      <c r="O2" s="1"/>
      <c r="P2" s="1"/>
      <c r="Q2" s="1"/>
      <c r="R2" s="1"/>
      <c r="S2" s="103"/>
      <c r="T2" s="176"/>
      <c r="U2" s="160"/>
      <c r="V2" s="160"/>
    </row>
    <row r="3" spans="1:22" ht="15.75">
      <c r="A3" s="85" t="s">
        <v>27</v>
      </c>
      <c r="B3" s="4" t="s">
        <v>28</v>
      </c>
      <c r="C3" s="5">
        <v>2</v>
      </c>
      <c r="D3" s="5" t="s">
        <v>24</v>
      </c>
      <c r="E3" s="5">
        <v>2026</v>
      </c>
      <c r="F3" s="5" t="s">
        <v>29</v>
      </c>
      <c r="G3" s="64">
        <v>46061</v>
      </c>
      <c r="H3" s="7" t="s">
        <v>25</v>
      </c>
      <c r="I3" s="146"/>
      <c r="J3" s="48" t="s">
        <v>26</v>
      </c>
      <c r="K3" s="151">
        <v>8670</v>
      </c>
      <c r="L3" s="1"/>
      <c r="M3" s="1"/>
      <c r="N3" s="1"/>
      <c r="O3" s="1"/>
      <c r="P3" s="1"/>
      <c r="Q3" s="1"/>
      <c r="R3" s="1"/>
      <c r="S3" s="103"/>
      <c r="T3" s="176"/>
      <c r="U3" s="160"/>
      <c r="V3" s="160"/>
    </row>
    <row r="4" spans="1:22" ht="15.75">
      <c r="A4" s="85" t="s">
        <v>30</v>
      </c>
      <c r="B4" s="4" t="s">
        <v>23</v>
      </c>
      <c r="C4" s="5">
        <v>6</v>
      </c>
      <c r="D4" s="5" t="s">
        <v>24</v>
      </c>
      <c r="E4" s="5">
        <v>2026</v>
      </c>
      <c r="F4" s="5" t="s">
        <v>29</v>
      </c>
      <c r="G4" s="64">
        <v>46056</v>
      </c>
      <c r="H4" s="103"/>
      <c r="I4" s="146"/>
      <c r="J4" s="48" t="s">
        <v>26</v>
      </c>
      <c r="K4" s="151">
        <v>8670</v>
      </c>
      <c r="L4" s="1"/>
      <c r="M4" s="1"/>
      <c r="N4" s="1"/>
      <c r="O4" s="1"/>
      <c r="P4" s="1"/>
      <c r="Q4" s="1"/>
      <c r="R4" s="1"/>
      <c r="S4" s="103"/>
      <c r="T4" s="176"/>
      <c r="U4" s="160"/>
      <c r="V4" s="160"/>
    </row>
    <row r="5" spans="1:22" ht="15.75">
      <c r="A5" s="85" t="s">
        <v>31</v>
      </c>
      <c r="B5" s="4" t="s">
        <v>23</v>
      </c>
      <c r="C5" s="5">
        <v>13</v>
      </c>
      <c r="D5" s="5" t="s">
        <v>32</v>
      </c>
      <c r="E5" s="5">
        <v>2025</v>
      </c>
      <c r="F5" s="5" t="s">
        <v>29</v>
      </c>
      <c r="G5" s="119"/>
      <c r="H5" s="119"/>
      <c r="I5" s="119"/>
      <c r="J5" s="48" t="s">
        <v>26</v>
      </c>
      <c r="K5" s="151">
        <v>8670</v>
      </c>
      <c r="L5" s="1"/>
      <c r="M5" s="1"/>
      <c r="N5" s="1"/>
      <c r="O5" s="1"/>
      <c r="P5" s="1"/>
      <c r="Q5" s="1"/>
      <c r="R5" s="1"/>
      <c r="S5" s="103"/>
      <c r="T5" s="4" t="s">
        <v>33</v>
      </c>
      <c r="U5" s="110">
        <v>46388</v>
      </c>
      <c r="V5" s="160"/>
    </row>
    <row r="6" spans="1:22" ht="15.75">
      <c r="A6" s="85" t="s">
        <v>34</v>
      </c>
      <c r="B6" s="4" t="s">
        <v>23</v>
      </c>
      <c r="C6" s="5">
        <v>8</v>
      </c>
      <c r="D6" s="5" t="s">
        <v>35</v>
      </c>
      <c r="E6" s="5">
        <v>2025</v>
      </c>
      <c r="F6" s="5" t="s">
        <v>29</v>
      </c>
      <c r="G6" s="119"/>
      <c r="H6" s="119"/>
      <c r="I6" s="119"/>
      <c r="J6" s="48" t="s">
        <v>26</v>
      </c>
      <c r="K6" s="151">
        <v>8670</v>
      </c>
      <c r="L6" s="86"/>
      <c r="M6" s="86"/>
      <c r="N6" s="86"/>
      <c r="O6" s="86"/>
      <c r="P6" s="86"/>
      <c r="Q6" s="86"/>
      <c r="R6" s="86"/>
      <c r="S6" s="86"/>
      <c r="T6" s="4" t="s">
        <v>33</v>
      </c>
      <c r="U6" s="110">
        <v>46388</v>
      </c>
      <c r="V6" s="160"/>
    </row>
    <row r="7" spans="1:22" ht="15.75">
      <c r="A7" s="85" t="s">
        <v>36</v>
      </c>
      <c r="B7" s="4" t="s">
        <v>23</v>
      </c>
      <c r="C7" s="5">
        <v>8</v>
      </c>
      <c r="D7" s="5" t="s">
        <v>37</v>
      </c>
      <c r="E7" s="5">
        <v>2025</v>
      </c>
      <c r="F7" s="5" t="s">
        <v>29</v>
      </c>
      <c r="G7" s="119"/>
      <c r="H7" s="119"/>
      <c r="I7" s="119"/>
      <c r="J7" s="48" t="s">
        <v>26</v>
      </c>
      <c r="K7" s="151">
        <v>8670</v>
      </c>
      <c r="L7" s="86"/>
      <c r="M7" s="86"/>
      <c r="N7" s="86"/>
      <c r="O7" s="86"/>
      <c r="P7" s="86"/>
      <c r="Q7" s="86"/>
      <c r="R7" s="86"/>
      <c r="S7" s="86"/>
      <c r="T7" s="4" t="s">
        <v>33</v>
      </c>
      <c r="U7" s="110">
        <v>46388</v>
      </c>
      <c r="V7" s="160"/>
    </row>
    <row r="8" spans="1:22" ht="15.75">
      <c r="A8" s="85" t="s">
        <v>38</v>
      </c>
      <c r="B8" s="4" t="s">
        <v>23</v>
      </c>
      <c r="C8" s="5">
        <v>8</v>
      </c>
      <c r="D8" s="5" t="s">
        <v>35</v>
      </c>
      <c r="E8" s="5">
        <v>2025</v>
      </c>
      <c r="F8" s="5" t="s">
        <v>29</v>
      </c>
      <c r="G8" s="119"/>
      <c r="H8" s="119"/>
      <c r="I8" s="119"/>
      <c r="J8" s="48" t="s">
        <v>26</v>
      </c>
      <c r="K8" s="151">
        <v>8670</v>
      </c>
      <c r="L8" s="86"/>
      <c r="M8" s="86"/>
      <c r="N8" s="86"/>
      <c r="O8" s="86"/>
      <c r="P8" s="86"/>
      <c r="Q8" s="86"/>
      <c r="R8" s="86"/>
      <c r="S8" s="86"/>
      <c r="T8" s="4" t="s">
        <v>33</v>
      </c>
      <c r="U8" s="110">
        <v>46388</v>
      </c>
      <c r="V8" s="160"/>
    </row>
    <row r="9" spans="1:22" ht="15.75">
      <c r="A9" s="85" t="s">
        <v>39</v>
      </c>
      <c r="B9" s="4" t="s">
        <v>23</v>
      </c>
      <c r="C9" s="5">
        <v>8</v>
      </c>
      <c r="D9" s="5" t="s">
        <v>35</v>
      </c>
      <c r="E9" s="5">
        <v>2025</v>
      </c>
      <c r="F9" s="5" t="s">
        <v>29</v>
      </c>
      <c r="G9" s="119"/>
      <c r="H9" s="119"/>
      <c r="I9" s="119"/>
      <c r="J9" s="48" t="s">
        <v>26</v>
      </c>
      <c r="K9" s="151">
        <v>8670</v>
      </c>
      <c r="L9" s="86"/>
      <c r="M9" s="86"/>
      <c r="N9" s="86"/>
      <c r="O9" s="86"/>
      <c r="P9" s="86"/>
      <c r="Q9" s="86"/>
      <c r="R9" s="86"/>
      <c r="S9" s="86"/>
      <c r="T9" s="4" t="s">
        <v>33</v>
      </c>
      <c r="U9" s="110">
        <v>46388</v>
      </c>
      <c r="V9" s="160"/>
    </row>
    <row r="10" spans="1:22" ht="15.75">
      <c r="A10" s="85" t="s">
        <v>40</v>
      </c>
      <c r="B10" s="4" t="s">
        <v>23</v>
      </c>
      <c r="C10" s="5">
        <v>10</v>
      </c>
      <c r="D10" s="5" t="s">
        <v>41</v>
      </c>
      <c r="E10" s="5">
        <v>2025</v>
      </c>
      <c r="F10" s="5" t="s">
        <v>29</v>
      </c>
      <c r="G10" s="119"/>
      <c r="H10" s="7" t="s">
        <v>42</v>
      </c>
      <c r="I10" s="119"/>
      <c r="J10" s="48" t="s">
        <v>26</v>
      </c>
      <c r="K10" s="151">
        <v>8670</v>
      </c>
      <c r="L10" s="86"/>
      <c r="M10" s="86"/>
      <c r="N10" s="86"/>
      <c r="O10" s="86"/>
      <c r="P10" s="86"/>
      <c r="Q10" s="86"/>
      <c r="R10" s="86"/>
      <c r="S10" s="86"/>
      <c r="T10" s="4" t="s">
        <v>33</v>
      </c>
      <c r="U10" s="110">
        <v>46357</v>
      </c>
      <c r="V10" s="160"/>
    </row>
    <row r="11" spans="1:22" ht="15.75">
      <c r="A11" s="85" t="s">
        <v>43</v>
      </c>
      <c r="B11" s="4" t="s">
        <v>23</v>
      </c>
      <c r="C11" s="5">
        <v>10</v>
      </c>
      <c r="D11" s="5" t="s">
        <v>44</v>
      </c>
      <c r="E11" s="5">
        <v>2025</v>
      </c>
      <c r="F11" s="5" t="s">
        <v>29</v>
      </c>
      <c r="G11" s="119"/>
      <c r="H11" s="119"/>
      <c r="I11" s="119"/>
      <c r="J11" s="48" t="s">
        <v>26</v>
      </c>
      <c r="K11" s="151">
        <v>8670</v>
      </c>
      <c r="L11" s="86"/>
      <c r="M11" s="86"/>
      <c r="N11" s="86"/>
      <c r="O11" s="86"/>
      <c r="P11" s="86"/>
      <c r="Q11" s="86"/>
      <c r="R11" s="86"/>
      <c r="S11" s="86"/>
      <c r="T11" s="4" t="s">
        <v>33</v>
      </c>
      <c r="U11" s="110">
        <v>46388</v>
      </c>
      <c r="V11" s="160"/>
    </row>
    <row r="12" spans="1:22" ht="15.75">
      <c r="A12" s="85" t="s">
        <v>45</v>
      </c>
      <c r="B12" s="4" t="s">
        <v>46</v>
      </c>
      <c r="C12" s="5">
        <v>2</v>
      </c>
      <c r="D12" s="5" t="s">
        <v>47</v>
      </c>
      <c r="E12" s="5">
        <v>2025</v>
      </c>
      <c r="F12" s="5" t="s">
        <v>29</v>
      </c>
      <c r="G12" s="119"/>
      <c r="H12" s="72"/>
      <c r="I12" s="72"/>
      <c r="J12" s="48" t="s">
        <v>26</v>
      </c>
      <c r="K12" s="151">
        <v>8670</v>
      </c>
      <c r="L12" s="86"/>
      <c r="M12" s="86"/>
      <c r="N12" s="86"/>
      <c r="O12" s="86"/>
      <c r="P12" s="86"/>
      <c r="Q12" s="86"/>
      <c r="R12" s="127"/>
      <c r="S12" s="86"/>
      <c r="T12" s="4" t="s">
        <v>33</v>
      </c>
      <c r="U12" s="110">
        <v>46388</v>
      </c>
      <c r="V12"/>
    </row>
    <row r="13" spans="1:22" ht="15.75">
      <c r="A13" s="85" t="s">
        <v>48</v>
      </c>
      <c r="B13" s="4" t="s">
        <v>23</v>
      </c>
      <c r="C13" s="5">
        <v>8</v>
      </c>
      <c r="D13" s="5" t="s">
        <v>47</v>
      </c>
      <c r="E13" s="5">
        <v>2025</v>
      </c>
      <c r="F13" s="5" t="s">
        <v>29</v>
      </c>
      <c r="G13" s="119"/>
      <c r="H13" s="72"/>
      <c r="I13" s="72"/>
      <c r="J13" s="48" t="s">
        <v>26</v>
      </c>
      <c r="K13" s="151">
        <v>8670</v>
      </c>
      <c r="L13" s="86"/>
      <c r="M13" s="86"/>
      <c r="N13" s="86"/>
      <c r="O13" s="86"/>
      <c r="P13" s="86"/>
      <c r="Q13" s="86"/>
      <c r="R13" s="127"/>
      <c r="S13" s="86"/>
      <c r="T13" s="4" t="s">
        <v>33</v>
      </c>
      <c r="U13" s="107">
        <v>46149</v>
      </c>
      <c r="V13"/>
    </row>
    <row r="14" spans="1:22" ht="15.75">
      <c r="A14" s="85" t="s">
        <v>49</v>
      </c>
      <c r="B14" s="4" t="s">
        <v>23</v>
      </c>
      <c r="C14" s="5">
        <v>8</v>
      </c>
      <c r="D14" s="5" t="s">
        <v>50</v>
      </c>
      <c r="E14" s="5">
        <v>2025</v>
      </c>
      <c r="F14" s="5" t="s">
        <v>29</v>
      </c>
      <c r="G14" s="119"/>
      <c r="H14" s="72"/>
      <c r="I14" s="72"/>
      <c r="J14" s="48" t="s">
        <v>26</v>
      </c>
      <c r="K14" s="151">
        <v>8670</v>
      </c>
      <c r="L14" s="86"/>
      <c r="M14" s="86"/>
      <c r="N14" s="86"/>
      <c r="O14" s="86"/>
      <c r="P14" s="86"/>
      <c r="Q14" s="86"/>
      <c r="R14" s="127"/>
      <c r="S14" s="86"/>
      <c r="T14" s="4" t="s">
        <v>33</v>
      </c>
      <c r="U14" s="107">
        <v>46266</v>
      </c>
      <c r="V14"/>
    </row>
    <row r="15" spans="1:22" ht="15.75">
      <c r="A15" s="85" t="s">
        <v>51</v>
      </c>
      <c r="B15" s="4" t="s">
        <v>23</v>
      </c>
      <c r="C15" s="5">
        <v>12</v>
      </c>
      <c r="D15" s="5" t="s">
        <v>50</v>
      </c>
      <c r="E15" s="5">
        <v>2025</v>
      </c>
      <c r="F15" s="5" t="s">
        <v>29</v>
      </c>
      <c r="G15" s="119"/>
      <c r="H15" s="72"/>
      <c r="I15" s="72"/>
      <c r="J15" s="48" t="s">
        <v>26</v>
      </c>
      <c r="K15" s="151">
        <v>8670</v>
      </c>
      <c r="L15" s="86"/>
      <c r="M15" s="86"/>
      <c r="N15" s="86"/>
      <c r="O15" s="86"/>
      <c r="P15" s="86"/>
      <c r="Q15" s="86"/>
      <c r="R15" s="127"/>
      <c r="S15" s="86"/>
      <c r="T15" s="4" t="s">
        <v>33</v>
      </c>
      <c r="U15" s="110">
        <v>46388</v>
      </c>
      <c r="V15"/>
    </row>
    <row r="16" spans="1:22" ht="15.75">
      <c r="A16" s="85" t="s">
        <v>52</v>
      </c>
      <c r="B16" s="4" t="s">
        <v>23</v>
      </c>
      <c r="C16" s="5">
        <v>12</v>
      </c>
      <c r="D16" s="5" t="s">
        <v>50</v>
      </c>
      <c r="E16" s="5">
        <v>2025</v>
      </c>
      <c r="F16" s="5" t="s">
        <v>29</v>
      </c>
      <c r="G16" s="64">
        <v>45792</v>
      </c>
      <c r="H16" s="7" t="s">
        <v>25</v>
      </c>
      <c r="I16" s="98" t="s">
        <v>53</v>
      </c>
      <c r="J16" s="31" t="s">
        <v>26</v>
      </c>
      <c r="K16" s="151">
        <v>8670</v>
      </c>
      <c r="L16" s="86"/>
      <c r="M16" s="86"/>
      <c r="N16" s="86"/>
      <c r="O16" s="86"/>
      <c r="P16" s="86"/>
      <c r="Q16" s="86"/>
      <c r="R16" s="127"/>
      <c r="S16" s="86"/>
      <c r="T16" s="4" t="s">
        <v>33</v>
      </c>
      <c r="U16" s="107">
        <v>46235</v>
      </c>
      <c r="V16"/>
    </row>
    <row r="17" spans="1:22" ht="15.75">
      <c r="A17" s="85" t="s">
        <v>54</v>
      </c>
      <c r="B17" s="4" t="s">
        <v>23</v>
      </c>
      <c r="C17" s="5">
        <v>8</v>
      </c>
      <c r="D17" s="5" t="s">
        <v>50</v>
      </c>
      <c r="E17" s="5">
        <v>2025</v>
      </c>
      <c r="F17" s="5" t="s">
        <v>29</v>
      </c>
      <c r="G17" s="64">
        <v>45792</v>
      </c>
      <c r="H17" s="7" t="s">
        <v>25</v>
      </c>
      <c r="I17" s="98" t="s">
        <v>55</v>
      </c>
      <c r="J17" s="31" t="s">
        <v>26</v>
      </c>
      <c r="K17" s="151">
        <v>8670</v>
      </c>
      <c r="L17" s="86"/>
      <c r="M17" s="86"/>
      <c r="N17" s="86"/>
      <c r="O17" s="86"/>
      <c r="P17" s="86"/>
      <c r="Q17" s="86"/>
      <c r="R17" s="127"/>
      <c r="S17" s="86"/>
      <c r="T17" s="4" t="s">
        <v>33</v>
      </c>
      <c r="U17" s="107">
        <v>46143</v>
      </c>
      <c r="V17"/>
    </row>
    <row r="18" spans="1:22" ht="15.75">
      <c r="A18" s="85" t="s">
        <v>56</v>
      </c>
      <c r="B18" s="4" t="s">
        <v>23</v>
      </c>
      <c r="C18" s="5">
        <v>6</v>
      </c>
      <c r="D18" s="5" t="s">
        <v>50</v>
      </c>
      <c r="E18" s="5">
        <v>2025</v>
      </c>
      <c r="F18" s="5" t="s">
        <v>29</v>
      </c>
      <c r="G18" s="64">
        <v>45792</v>
      </c>
      <c r="H18" s="7" t="s">
        <v>25</v>
      </c>
      <c r="I18" s="98" t="s">
        <v>55</v>
      </c>
      <c r="J18" s="31" t="s">
        <v>26</v>
      </c>
      <c r="K18" s="151">
        <v>8670</v>
      </c>
      <c r="L18" s="86"/>
      <c r="M18" s="86"/>
      <c r="N18" s="86"/>
      <c r="O18" s="86"/>
      <c r="P18" s="86"/>
      <c r="Q18" s="86"/>
      <c r="R18" s="127"/>
      <c r="S18" s="86"/>
      <c r="T18" s="4" t="s">
        <v>33</v>
      </c>
      <c r="U18" s="107">
        <v>46143</v>
      </c>
      <c r="V18"/>
    </row>
    <row r="19" spans="1:22" ht="15.75">
      <c r="A19" s="85" t="s">
        <v>57</v>
      </c>
      <c r="B19" s="4" t="s">
        <v>23</v>
      </c>
      <c r="C19" s="5">
        <v>16</v>
      </c>
      <c r="D19" s="5" t="s">
        <v>58</v>
      </c>
      <c r="E19" s="5">
        <v>2025</v>
      </c>
      <c r="F19" s="5" t="s">
        <v>29</v>
      </c>
      <c r="G19" s="87"/>
      <c r="H19" s="87"/>
      <c r="I19" s="87"/>
      <c r="J19" s="31" t="s">
        <v>26</v>
      </c>
      <c r="K19" s="151">
        <v>8670</v>
      </c>
      <c r="L19" s="86"/>
      <c r="M19" s="86"/>
      <c r="N19" s="86"/>
      <c r="O19" s="86"/>
      <c r="P19" s="86"/>
      <c r="Q19" s="86"/>
      <c r="R19" s="127"/>
      <c r="S19" s="86"/>
      <c r="T19" s="4" t="s">
        <v>33</v>
      </c>
      <c r="U19" s="107">
        <v>46143</v>
      </c>
      <c r="V19"/>
    </row>
    <row r="20" spans="1:22" ht="15.75">
      <c r="A20" s="85" t="s">
        <v>59</v>
      </c>
      <c r="B20" s="4" t="s">
        <v>23</v>
      </c>
      <c r="C20" s="5">
        <v>8</v>
      </c>
      <c r="D20" s="5" t="s">
        <v>58</v>
      </c>
      <c r="E20" s="5">
        <v>2025</v>
      </c>
      <c r="F20" s="5" t="s">
        <v>29</v>
      </c>
      <c r="G20" s="87"/>
      <c r="H20" s="87"/>
      <c r="I20" s="87"/>
      <c r="J20" s="31" t="s">
        <v>26</v>
      </c>
      <c r="K20" s="151">
        <v>8670</v>
      </c>
      <c r="L20" s="86"/>
      <c r="M20" s="86"/>
      <c r="N20" s="86"/>
      <c r="O20" s="86"/>
      <c r="P20" s="86"/>
      <c r="Q20" s="86"/>
      <c r="R20" s="127"/>
      <c r="S20" s="86"/>
      <c r="T20" s="4" t="s">
        <v>33</v>
      </c>
      <c r="U20" s="107">
        <v>46235</v>
      </c>
      <c r="V20"/>
    </row>
    <row r="21" spans="1:22" ht="15.75">
      <c r="A21" s="85" t="s">
        <v>60</v>
      </c>
      <c r="B21" s="4" t="s">
        <v>23</v>
      </c>
      <c r="C21" s="5">
        <v>16</v>
      </c>
      <c r="D21" s="5" t="s">
        <v>58</v>
      </c>
      <c r="E21" s="5">
        <v>2025</v>
      </c>
      <c r="F21" s="5" t="s">
        <v>29</v>
      </c>
      <c r="G21" s="64">
        <v>45391</v>
      </c>
      <c r="H21" s="7" t="s">
        <v>25</v>
      </c>
      <c r="I21" s="98" t="s">
        <v>61</v>
      </c>
      <c r="J21" s="31" t="s">
        <v>26</v>
      </c>
      <c r="K21" s="151">
        <v>8670</v>
      </c>
      <c r="L21" s="86"/>
      <c r="M21" s="86"/>
      <c r="N21" s="86"/>
      <c r="O21" s="86"/>
      <c r="P21" s="86"/>
      <c r="Q21" s="86"/>
      <c r="R21" s="127"/>
      <c r="S21" s="86"/>
      <c r="T21" s="4" t="s">
        <v>33</v>
      </c>
      <c r="U21" s="107">
        <v>46266</v>
      </c>
      <c r="V21"/>
    </row>
    <row r="22" spans="1:22" ht="15.75">
      <c r="A22" s="181" t="s">
        <v>62</v>
      </c>
      <c r="B22" s="4" t="s">
        <v>23</v>
      </c>
      <c r="C22" s="5">
        <v>9</v>
      </c>
      <c r="D22" s="5" t="s">
        <v>58</v>
      </c>
      <c r="E22" s="5">
        <v>2025</v>
      </c>
      <c r="F22" s="5" t="s">
        <v>29</v>
      </c>
      <c r="G22" s="64">
        <v>45391</v>
      </c>
      <c r="H22" s="7" t="s">
        <v>63</v>
      </c>
      <c r="I22" s="98" t="s">
        <v>64</v>
      </c>
      <c r="J22" s="31" t="s">
        <v>26</v>
      </c>
      <c r="K22" s="151">
        <v>8670</v>
      </c>
      <c r="L22" s="86"/>
      <c r="M22" s="86"/>
      <c r="N22" s="86"/>
      <c r="O22" s="86"/>
      <c r="P22" s="86"/>
      <c r="Q22" s="86"/>
      <c r="R22" s="127"/>
      <c r="S22" s="86"/>
      <c r="T22" s="4" t="s">
        <v>33</v>
      </c>
      <c r="U22" s="107">
        <v>46235</v>
      </c>
      <c r="V22"/>
    </row>
    <row r="23" spans="1:22" ht="15.75">
      <c r="A23" s="85" t="s">
        <v>65</v>
      </c>
      <c r="B23" s="4" t="s">
        <v>23</v>
      </c>
      <c r="C23" s="5">
        <v>16</v>
      </c>
      <c r="D23" s="5" t="s">
        <v>66</v>
      </c>
      <c r="E23" s="5">
        <v>2025</v>
      </c>
      <c r="F23" s="5" t="s">
        <v>29</v>
      </c>
      <c r="G23" s="64">
        <v>45391</v>
      </c>
      <c r="H23" s="7" t="s">
        <v>25</v>
      </c>
      <c r="I23" s="98" t="s">
        <v>64</v>
      </c>
      <c r="J23" s="31" t="s">
        <v>26</v>
      </c>
      <c r="K23" s="151">
        <v>8670</v>
      </c>
      <c r="L23" s="86"/>
      <c r="M23" s="86"/>
      <c r="N23" s="86"/>
      <c r="O23" s="86"/>
      <c r="P23" s="86"/>
      <c r="Q23" s="86"/>
      <c r="R23" s="127"/>
      <c r="S23" s="86"/>
      <c r="T23" s="4" t="s">
        <v>33</v>
      </c>
      <c r="U23" s="107">
        <v>46235</v>
      </c>
      <c r="V23" s="142" t="s">
        <v>67</v>
      </c>
    </row>
    <row r="24" spans="1:22">
      <c r="A24" s="85" t="s">
        <v>68</v>
      </c>
      <c r="B24" s="4" t="s">
        <v>23</v>
      </c>
      <c r="C24" s="5">
        <v>8</v>
      </c>
      <c r="D24" s="5" t="s">
        <v>66</v>
      </c>
      <c r="E24" s="5">
        <v>2025</v>
      </c>
      <c r="F24" s="5" t="s">
        <v>29</v>
      </c>
      <c r="G24" s="64">
        <v>45407</v>
      </c>
      <c r="H24" s="7" t="s">
        <v>25</v>
      </c>
      <c r="I24" s="98" t="s">
        <v>55</v>
      </c>
      <c r="J24" s="31" t="s">
        <v>26</v>
      </c>
      <c r="K24" s="151">
        <v>8670</v>
      </c>
      <c r="L24" s="5"/>
      <c r="M24" s="5"/>
      <c r="N24" s="5"/>
      <c r="O24" s="5"/>
      <c r="P24" s="5"/>
      <c r="Q24" s="5"/>
      <c r="R24" s="128"/>
      <c r="S24" s="5"/>
      <c r="T24" s="4" t="s">
        <v>33</v>
      </c>
      <c r="U24" s="107">
        <v>46235</v>
      </c>
      <c r="V24"/>
    </row>
    <row r="25" spans="1:22" ht="15.75">
      <c r="A25" s="85" t="s">
        <v>69</v>
      </c>
      <c r="B25" s="4" t="s">
        <v>23</v>
      </c>
      <c r="C25" s="5">
        <v>14</v>
      </c>
      <c r="D25" s="5" t="s">
        <v>66</v>
      </c>
      <c r="E25" s="5">
        <v>2025</v>
      </c>
      <c r="F25" s="5" t="s">
        <v>29</v>
      </c>
      <c r="G25" s="87"/>
      <c r="H25" s="87"/>
      <c r="I25" s="87"/>
      <c r="J25" s="31" t="s">
        <v>26</v>
      </c>
      <c r="K25" s="151">
        <v>8670</v>
      </c>
      <c r="L25" s="5"/>
      <c r="M25" s="5"/>
      <c r="N25" s="5"/>
      <c r="O25" s="5"/>
      <c r="P25" s="5"/>
      <c r="Q25" s="5"/>
      <c r="R25" s="128"/>
      <c r="S25" s="5"/>
      <c r="T25" s="4" t="s">
        <v>33</v>
      </c>
      <c r="U25" s="107">
        <v>46266</v>
      </c>
      <c r="V25"/>
    </row>
    <row r="26" spans="1:22">
      <c r="A26" s="85" t="s">
        <v>70</v>
      </c>
      <c r="B26" s="4" t="s">
        <v>23</v>
      </c>
      <c r="C26" s="5">
        <v>4</v>
      </c>
      <c r="D26" s="5" t="s">
        <v>66</v>
      </c>
      <c r="E26" s="5">
        <v>2025</v>
      </c>
      <c r="F26" s="5" t="s">
        <v>29</v>
      </c>
      <c r="G26" s="64">
        <v>45363</v>
      </c>
      <c r="H26" s="7" t="s">
        <v>25</v>
      </c>
      <c r="I26" s="98" t="s">
        <v>53</v>
      </c>
      <c r="J26" s="31" t="s">
        <v>26</v>
      </c>
      <c r="K26" s="151">
        <v>8670</v>
      </c>
      <c r="L26" s="5"/>
      <c r="M26" s="5"/>
      <c r="N26" s="5"/>
      <c r="O26" s="5"/>
      <c r="P26" s="5"/>
      <c r="Q26" s="5"/>
      <c r="R26" s="128"/>
      <c r="S26" s="5"/>
      <c r="T26" s="4" t="s">
        <v>33</v>
      </c>
      <c r="U26" s="107">
        <v>46447</v>
      </c>
      <c r="V26" s="142" t="s">
        <v>67</v>
      </c>
    </row>
    <row r="27" spans="1:22">
      <c r="A27" s="85" t="s">
        <v>71</v>
      </c>
      <c r="B27" s="4" t="s">
        <v>23</v>
      </c>
      <c r="C27" s="5">
        <v>10</v>
      </c>
      <c r="D27" s="5" t="s">
        <v>24</v>
      </c>
      <c r="E27" s="5">
        <v>2025</v>
      </c>
      <c r="F27" s="5" t="s">
        <v>29</v>
      </c>
      <c r="G27" s="64">
        <v>45356</v>
      </c>
      <c r="H27" s="7" t="s">
        <v>25</v>
      </c>
      <c r="I27" s="98" t="s">
        <v>55</v>
      </c>
      <c r="J27" s="31" t="s">
        <v>26</v>
      </c>
      <c r="K27" s="151">
        <v>8670</v>
      </c>
      <c r="L27" s="5"/>
      <c r="M27" s="5"/>
      <c r="N27" s="5"/>
      <c r="O27" s="5"/>
      <c r="P27" s="5"/>
      <c r="Q27" s="5"/>
      <c r="R27" s="128"/>
      <c r="S27" s="5"/>
      <c r="T27" s="4" t="s">
        <v>33</v>
      </c>
      <c r="U27" s="110">
        <v>46388</v>
      </c>
      <c r="V27"/>
    </row>
    <row r="28" spans="1:22">
      <c r="A28" s="85" t="s">
        <v>72</v>
      </c>
      <c r="B28" s="4" t="s">
        <v>23</v>
      </c>
      <c r="C28" s="5">
        <v>12</v>
      </c>
      <c r="D28" s="5" t="s">
        <v>24</v>
      </c>
      <c r="E28" s="5">
        <v>2025</v>
      </c>
      <c r="F28" s="5" t="s">
        <v>29</v>
      </c>
      <c r="G28" s="64">
        <v>45356</v>
      </c>
      <c r="H28" s="7" t="s">
        <v>25</v>
      </c>
      <c r="I28" s="98" t="s">
        <v>53</v>
      </c>
      <c r="J28" s="31" t="s">
        <v>26</v>
      </c>
      <c r="K28" s="151">
        <v>8670</v>
      </c>
      <c r="L28" s="5"/>
      <c r="M28" s="5"/>
      <c r="N28" s="5"/>
      <c r="O28" s="5"/>
      <c r="P28" s="5"/>
      <c r="Q28" s="5"/>
      <c r="R28" s="128"/>
      <c r="S28" s="5"/>
      <c r="T28" s="4" t="s">
        <v>33</v>
      </c>
      <c r="U28" s="107">
        <v>46235</v>
      </c>
      <c r="V28"/>
    </row>
    <row r="29" spans="1:22">
      <c r="A29" s="85" t="s">
        <v>73</v>
      </c>
      <c r="B29" s="4" t="s">
        <v>23</v>
      </c>
      <c r="C29" s="5">
        <v>12</v>
      </c>
      <c r="D29" s="5" t="s">
        <v>74</v>
      </c>
      <c r="E29" s="5">
        <v>2025</v>
      </c>
      <c r="F29" s="5" t="s">
        <v>29</v>
      </c>
      <c r="G29" s="64">
        <v>45699</v>
      </c>
      <c r="H29" s="7" t="s">
        <v>25</v>
      </c>
      <c r="I29" s="98" t="s">
        <v>53</v>
      </c>
      <c r="J29" s="31" t="s">
        <v>75</v>
      </c>
      <c r="K29" s="151">
        <v>8670</v>
      </c>
      <c r="L29" s="5"/>
      <c r="M29" s="5"/>
      <c r="N29" s="5"/>
      <c r="O29" s="5"/>
      <c r="P29" s="5"/>
      <c r="Q29" s="5"/>
      <c r="R29" s="128"/>
      <c r="S29" s="5"/>
      <c r="T29" s="4" t="s">
        <v>33</v>
      </c>
      <c r="U29" s="107">
        <v>46419</v>
      </c>
      <c r="V29"/>
    </row>
    <row r="30" spans="1:22">
      <c r="A30" s="85" t="s">
        <v>76</v>
      </c>
      <c r="B30" s="4" t="s">
        <v>23</v>
      </c>
      <c r="C30" s="5">
        <v>4</v>
      </c>
      <c r="D30" s="5" t="s">
        <v>32</v>
      </c>
      <c r="E30" s="5">
        <v>2024</v>
      </c>
      <c r="F30" s="5" t="s">
        <v>29</v>
      </c>
      <c r="G30" s="64">
        <v>45646</v>
      </c>
      <c r="H30" s="7" t="s">
        <v>25</v>
      </c>
      <c r="I30" s="98" t="s">
        <v>55</v>
      </c>
      <c r="J30" s="31" t="s">
        <v>75</v>
      </c>
      <c r="K30" s="100">
        <v>8624</v>
      </c>
      <c r="L30" s="5"/>
      <c r="M30" s="5"/>
      <c r="N30" s="5"/>
      <c r="O30" s="5"/>
      <c r="P30" s="5"/>
      <c r="Q30" s="5"/>
      <c r="R30" s="128"/>
      <c r="S30" s="5"/>
      <c r="T30" s="4" t="s">
        <v>33</v>
      </c>
      <c r="U30" s="110">
        <v>46388</v>
      </c>
      <c r="V30" s="142" t="s">
        <v>67</v>
      </c>
    </row>
    <row r="31" spans="1:22" ht="15.75">
      <c r="A31" s="85" t="s">
        <v>77</v>
      </c>
      <c r="B31" s="4" t="s">
        <v>23</v>
      </c>
      <c r="C31" s="5">
        <v>4</v>
      </c>
      <c r="D31" s="5" t="s">
        <v>32</v>
      </c>
      <c r="E31" s="5">
        <v>2024</v>
      </c>
      <c r="F31" s="5" t="s">
        <v>29</v>
      </c>
      <c r="G31" s="64">
        <v>45663</v>
      </c>
      <c r="H31" s="7" t="s">
        <v>78</v>
      </c>
      <c r="I31" s="98" t="s">
        <v>55</v>
      </c>
      <c r="J31" s="31" t="s">
        <v>75</v>
      </c>
      <c r="K31" s="100">
        <v>8625</v>
      </c>
      <c r="L31" s="86"/>
      <c r="M31" s="86"/>
      <c r="N31" s="86"/>
      <c r="O31" s="86"/>
      <c r="P31" s="86"/>
      <c r="Q31" s="86"/>
      <c r="R31" s="127"/>
      <c r="S31" s="86"/>
      <c r="T31" s="4" t="s">
        <v>33</v>
      </c>
      <c r="U31" s="110">
        <v>46388</v>
      </c>
      <c r="V31" s="143" t="s">
        <v>79</v>
      </c>
    </row>
    <row r="32" spans="1:22" ht="15.75">
      <c r="A32" s="85" t="s">
        <v>80</v>
      </c>
      <c r="B32" s="4" t="s">
        <v>23</v>
      </c>
      <c r="C32" s="5">
        <v>8</v>
      </c>
      <c r="D32" s="5" t="s">
        <v>32</v>
      </c>
      <c r="E32" s="5">
        <v>2024</v>
      </c>
      <c r="F32" s="5" t="s">
        <v>29</v>
      </c>
      <c r="G32" s="64">
        <v>45635</v>
      </c>
      <c r="H32" s="7" t="s">
        <v>25</v>
      </c>
      <c r="I32" s="98" t="s">
        <v>55</v>
      </c>
      <c r="J32" s="31" t="s">
        <v>75</v>
      </c>
      <c r="K32" s="100">
        <v>8602</v>
      </c>
      <c r="L32" s="86"/>
      <c r="M32" s="86"/>
      <c r="N32" s="86"/>
      <c r="O32" s="86"/>
      <c r="P32" s="86"/>
      <c r="Q32" s="86"/>
      <c r="R32" s="127"/>
      <c r="S32" s="86"/>
      <c r="T32" s="4" t="s">
        <v>33</v>
      </c>
      <c r="U32" s="110">
        <v>46388</v>
      </c>
      <c r="V32" s="107" t="s">
        <v>67</v>
      </c>
    </row>
    <row r="33" spans="1:22" ht="15.75">
      <c r="A33" s="177" t="s">
        <v>81</v>
      </c>
      <c r="B33" s="4" t="s">
        <v>23</v>
      </c>
      <c r="C33" s="5">
        <v>14</v>
      </c>
      <c r="D33" s="5" t="s">
        <v>32</v>
      </c>
      <c r="E33" s="5">
        <v>2024</v>
      </c>
      <c r="F33" s="5" t="s">
        <v>29</v>
      </c>
      <c r="G33" s="64">
        <v>45644</v>
      </c>
      <c r="H33" s="7" t="s">
        <v>25</v>
      </c>
      <c r="I33" s="98" t="s">
        <v>55</v>
      </c>
      <c r="J33" s="31" t="s">
        <v>75</v>
      </c>
      <c r="K33" s="100">
        <v>8601</v>
      </c>
      <c r="L33" s="86"/>
      <c r="M33" s="86"/>
      <c r="N33" s="86"/>
      <c r="O33" s="86"/>
      <c r="P33" s="86"/>
      <c r="Q33" s="86"/>
      <c r="R33" s="127"/>
      <c r="S33" s="86"/>
      <c r="T33" s="4" t="s">
        <v>33</v>
      </c>
      <c r="U33" s="110">
        <v>46388</v>
      </c>
      <c r="V33" s="144" t="s">
        <v>82</v>
      </c>
    </row>
    <row r="34" spans="1:22">
      <c r="A34" s="85" t="s">
        <v>83</v>
      </c>
      <c r="B34" s="4" t="s">
        <v>23</v>
      </c>
      <c r="C34" s="5">
        <v>6</v>
      </c>
      <c r="D34" s="5" t="s">
        <v>32</v>
      </c>
      <c r="E34" s="5">
        <v>2024</v>
      </c>
      <c r="F34" s="5" t="s">
        <v>29</v>
      </c>
      <c r="G34" s="64">
        <v>45624</v>
      </c>
      <c r="H34" s="7" t="s">
        <v>25</v>
      </c>
      <c r="I34" s="98" t="s">
        <v>55</v>
      </c>
      <c r="J34" s="31" t="s">
        <v>75</v>
      </c>
      <c r="K34" s="100">
        <v>8600</v>
      </c>
      <c r="L34" s="5"/>
      <c r="M34" s="5"/>
      <c r="N34" s="5"/>
      <c r="O34" s="5"/>
      <c r="P34" s="5"/>
      <c r="Q34" s="5"/>
      <c r="R34" s="128"/>
      <c r="S34" s="5"/>
      <c r="T34" s="4" t="s">
        <v>33</v>
      </c>
      <c r="U34" s="109">
        <v>46290</v>
      </c>
      <c r="V34" s="144" t="s">
        <v>82</v>
      </c>
    </row>
    <row r="35" spans="1:22">
      <c r="A35" s="85" t="s">
        <v>84</v>
      </c>
      <c r="B35" s="4" t="s">
        <v>23</v>
      </c>
      <c r="C35" s="5">
        <v>12</v>
      </c>
      <c r="D35" s="5" t="s">
        <v>32</v>
      </c>
      <c r="E35" s="5">
        <v>2024</v>
      </c>
      <c r="F35" s="5" t="s">
        <v>29</v>
      </c>
      <c r="G35" s="64">
        <v>44937</v>
      </c>
      <c r="H35" s="7" t="s">
        <v>85</v>
      </c>
      <c r="I35" s="98" t="s">
        <v>86</v>
      </c>
      <c r="J35" s="31"/>
      <c r="K35" s="100">
        <v>8599</v>
      </c>
      <c r="L35" s="5"/>
      <c r="M35" s="5"/>
      <c r="N35" s="5"/>
      <c r="O35" s="5"/>
      <c r="P35" s="5"/>
      <c r="Q35" s="5"/>
      <c r="R35" s="128"/>
      <c r="S35" s="5"/>
      <c r="T35" s="4" t="s">
        <v>33</v>
      </c>
      <c r="U35" s="107">
        <v>46357</v>
      </c>
      <c r="V35" s="143" t="s">
        <v>87</v>
      </c>
    </row>
    <row r="36" spans="1:22">
      <c r="A36" s="3" t="s">
        <v>88</v>
      </c>
      <c r="B36" s="4" t="s">
        <v>23</v>
      </c>
      <c r="C36" s="5">
        <v>20</v>
      </c>
      <c r="D36" s="5" t="s">
        <v>32</v>
      </c>
      <c r="E36" s="5">
        <v>2024</v>
      </c>
      <c r="F36" s="5" t="s">
        <v>29</v>
      </c>
      <c r="G36" s="64">
        <v>45616</v>
      </c>
      <c r="H36" s="7" t="s">
        <v>25</v>
      </c>
      <c r="I36" s="98" t="s">
        <v>55</v>
      </c>
      <c r="J36" s="31" t="s">
        <v>75</v>
      </c>
      <c r="K36" s="100">
        <v>8597</v>
      </c>
      <c r="L36" s="5"/>
      <c r="M36" s="5"/>
      <c r="N36" s="5"/>
      <c r="O36" s="5"/>
      <c r="P36" s="5"/>
      <c r="Q36" s="5"/>
      <c r="R36" s="128"/>
      <c r="S36" s="5"/>
      <c r="T36" s="4" t="s">
        <v>33</v>
      </c>
      <c r="U36" s="107">
        <v>46357</v>
      </c>
      <c r="V36" s="142" t="s">
        <v>67</v>
      </c>
    </row>
    <row r="37" spans="1:22">
      <c r="A37" s="3" t="s">
        <v>89</v>
      </c>
      <c r="B37" s="4" t="s">
        <v>23</v>
      </c>
      <c r="C37" s="5">
        <v>12</v>
      </c>
      <c r="D37" s="5" t="s">
        <v>37</v>
      </c>
      <c r="E37" s="5">
        <v>2024</v>
      </c>
      <c r="F37" s="5" t="s">
        <v>29</v>
      </c>
      <c r="G37" s="64">
        <v>45596</v>
      </c>
      <c r="H37" s="7" t="s">
        <v>25</v>
      </c>
      <c r="I37" s="98" t="s">
        <v>55</v>
      </c>
      <c r="J37" s="31" t="s">
        <v>75</v>
      </c>
      <c r="K37" s="100">
        <v>8596</v>
      </c>
      <c r="L37" s="69">
        <v>8668</v>
      </c>
      <c r="M37" s="5"/>
      <c r="N37" s="5"/>
      <c r="O37" s="5"/>
      <c r="P37" s="5"/>
      <c r="Q37" s="5"/>
      <c r="R37" s="128"/>
      <c r="S37" s="5"/>
      <c r="T37" s="4" t="s">
        <v>33</v>
      </c>
      <c r="U37" s="107">
        <v>46357</v>
      </c>
      <c r="V37" s="144" t="s">
        <v>82</v>
      </c>
    </row>
    <row r="38" spans="1:22">
      <c r="A38" s="3" t="s">
        <v>90</v>
      </c>
      <c r="B38" s="4" t="s">
        <v>23</v>
      </c>
      <c r="C38" s="5">
        <v>8</v>
      </c>
      <c r="D38" s="5" t="s">
        <v>32</v>
      </c>
      <c r="E38" s="5">
        <v>2024</v>
      </c>
      <c r="F38" s="5" t="s">
        <v>29</v>
      </c>
      <c r="G38" s="64">
        <v>45616</v>
      </c>
      <c r="H38" s="7" t="s">
        <v>25</v>
      </c>
      <c r="I38" s="98" t="s">
        <v>55</v>
      </c>
      <c r="J38" s="31" t="s">
        <v>75</v>
      </c>
      <c r="K38" s="100">
        <v>8594</v>
      </c>
      <c r="L38" s="5"/>
      <c r="M38" s="5"/>
      <c r="N38" s="5"/>
      <c r="O38" s="5"/>
      <c r="P38" s="5"/>
      <c r="Q38" s="5"/>
      <c r="R38" s="128"/>
      <c r="S38" s="5"/>
      <c r="T38" s="4" t="s">
        <v>33</v>
      </c>
      <c r="U38" s="107">
        <v>46357</v>
      </c>
      <c r="V38" s="142" t="s">
        <v>67</v>
      </c>
    </row>
    <row r="39" spans="1:22">
      <c r="A39" s="3" t="s">
        <v>91</v>
      </c>
      <c r="B39" s="4" t="s">
        <v>23</v>
      </c>
      <c r="C39" s="5">
        <v>14</v>
      </c>
      <c r="D39" s="5" t="s">
        <v>44</v>
      </c>
      <c r="E39" s="5">
        <v>2024</v>
      </c>
      <c r="F39" s="5" t="s">
        <v>29</v>
      </c>
      <c r="G39" s="64">
        <v>45562</v>
      </c>
      <c r="H39" s="7" t="s">
        <v>25</v>
      </c>
      <c r="I39" s="98" t="s">
        <v>55</v>
      </c>
      <c r="J39" s="31" t="s">
        <v>75</v>
      </c>
      <c r="K39" s="100">
        <v>8588</v>
      </c>
      <c r="L39" s="69">
        <v>8666</v>
      </c>
      <c r="M39" s="5"/>
      <c r="N39" s="5"/>
      <c r="O39" s="5"/>
      <c r="P39" s="5"/>
      <c r="Q39" s="5"/>
      <c r="R39" s="128"/>
      <c r="S39" s="5"/>
      <c r="T39" s="4" t="s">
        <v>33</v>
      </c>
      <c r="U39" s="109">
        <v>46353</v>
      </c>
      <c r="V39" s="142" t="s">
        <v>67</v>
      </c>
    </row>
    <row r="40" spans="1:22">
      <c r="A40" s="3" t="s">
        <v>92</v>
      </c>
      <c r="B40" s="4" t="s">
        <v>23</v>
      </c>
      <c r="C40" s="5">
        <v>12</v>
      </c>
      <c r="D40" s="5" t="s">
        <v>93</v>
      </c>
      <c r="E40" s="5">
        <v>2024</v>
      </c>
      <c r="F40" s="5" t="s">
        <v>29</v>
      </c>
      <c r="G40" s="64">
        <v>45524</v>
      </c>
      <c r="H40" s="7" t="s">
        <v>25</v>
      </c>
      <c r="I40" s="98" t="s">
        <v>55</v>
      </c>
      <c r="J40" s="31" t="s">
        <v>75</v>
      </c>
      <c r="K40" s="100">
        <v>8585</v>
      </c>
      <c r="L40" s="157">
        <v>8665</v>
      </c>
      <c r="M40" s="5"/>
      <c r="N40" s="5"/>
      <c r="O40" s="5"/>
      <c r="P40" s="5"/>
      <c r="Q40" s="5"/>
      <c r="R40" s="128"/>
      <c r="S40" s="5"/>
      <c r="T40" s="4" t="s">
        <v>33</v>
      </c>
      <c r="U40" s="109">
        <v>46315</v>
      </c>
      <c r="V40" s="143" t="s">
        <v>79</v>
      </c>
    </row>
    <row r="41" spans="1:22">
      <c r="A41" s="3" t="s">
        <v>94</v>
      </c>
      <c r="B41" s="4" t="s">
        <v>23</v>
      </c>
      <c r="C41" s="5">
        <v>4</v>
      </c>
      <c r="D41" s="5" t="s">
        <v>93</v>
      </c>
      <c r="E41" s="5">
        <v>2024</v>
      </c>
      <c r="F41" s="5" t="s">
        <v>29</v>
      </c>
      <c r="G41" s="64">
        <v>45541</v>
      </c>
      <c r="H41" s="7" t="s">
        <v>85</v>
      </c>
      <c r="I41" s="98" t="s">
        <v>55</v>
      </c>
      <c r="J41" s="31" t="s">
        <v>75</v>
      </c>
      <c r="K41" s="100">
        <v>8584</v>
      </c>
      <c r="L41" s="157">
        <v>8665</v>
      </c>
      <c r="M41" s="5"/>
      <c r="N41" s="5"/>
      <c r="O41" s="5"/>
      <c r="P41" s="5"/>
      <c r="Q41" s="5"/>
      <c r="R41" s="128"/>
      <c r="S41" s="5"/>
      <c r="T41" s="4" t="s">
        <v>33</v>
      </c>
      <c r="U41" s="109">
        <v>46332</v>
      </c>
      <c r="V41" s="143" t="s">
        <v>79</v>
      </c>
    </row>
    <row r="42" spans="1:22">
      <c r="A42" s="3" t="s">
        <v>95</v>
      </c>
      <c r="B42" s="4" t="s">
        <v>23</v>
      </c>
      <c r="C42" s="5">
        <v>18</v>
      </c>
      <c r="D42" s="5" t="s">
        <v>35</v>
      </c>
      <c r="E42" s="5">
        <v>2024</v>
      </c>
      <c r="F42" s="5" t="s">
        <v>29</v>
      </c>
      <c r="G42" s="64">
        <v>45544</v>
      </c>
      <c r="H42" s="7" t="s">
        <v>25</v>
      </c>
      <c r="I42" s="98" t="s">
        <v>55</v>
      </c>
      <c r="J42" s="31" t="s">
        <v>75</v>
      </c>
      <c r="K42" s="100">
        <v>8575</v>
      </c>
      <c r="L42" s="69">
        <v>8667</v>
      </c>
      <c r="M42" s="5"/>
      <c r="N42" s="5"/>
      <c r="O42" s="5"/>
      <c r="P42" s="5"/>
      <c r="Q42" s="5"/>
      <c r="R42" s="128"/>
      <c r="S42" s="5"/>
      <c r="T42" s="4" t="s">
        <v>33</v>
      </c>
      <c r="U42" s="110">
        <v>46276</v>
      </c>
      <c r="V42" s="142" t="s">
        <v>67</v>
      </c>
    </row>
    <row r="43" spans="1:22">
      <c r="A43" s="3" t="s">
        <v>96</v>
      </c>
      <c r="B43" s="4" t="s">
        <v>23</v>
      </c>
      <c r="C43" s="5">
        <v>14</v>
      </c>
      <c r="D43" s="5" t="s">
        <v>97</v>
      </c>
      <c r="E43" s="5">
        <v>2024</v>
      </c>
      <c r="F43" s="5" t="s">
        <v>29</v>
      </c>
      <c r="G43" s="64">
        <v>45491</v>
      </c>
      <c r="H43" s="7" t="s">
        <v>25</v>
      </c>
      <c r="I43" s="98" t="s">
        <v>55</v>
      </c>
      <c r="J43" s="31" t="s">
        <v>75</v>
      </c>
      <c r="K43" s="100">
        <v>8568</v>
      </c>
      <c r="L43" s="147">
        <v>8664</v>
      </c>
      <c r="M43" s="5"/>
      <c r="N43" s="5"/>
      <c r="O43" s="5"/>
      <c r="P43" s="5"/>
      <c r="Q43" s="5"/>
      <c r="R43" s="128"/>
      <c r="S43" s="5"/>
      <c r="T43" s="4" t="s">
        <v>33</v>
      </c>
      <c r="U43" s="110">
        <v>46283</v>
      </c>
      <c r="V43" s="143" t="s">
        <v>87</v>
      </c>
    </row>
    <row r="44" spans="1:22">
      <c r="A44" s="3" t="s">
        <v>98</v>
      </c>
      <c r="B44" s="4" t="s">
        <v>23</v>
      </c>
      <c r="C44" s="5">
        <v>14</v>
      </c>
      <c r="D44" s="5" t="s">
        <v>97</v>
      </c>
      <c r="E44" s="5">
        <v>2024</v>
      </c>
      <c r="F44" s="5" t="s">
        <v>29</v>
      </c>
      <c r="G44" s="64">
        <v>45498</v>
      </c>
      <c r="H44" s="7" t="s">
        <v>25</v>
      </c>
      <c r="I44" s="98" t="s">
        <v>55</v>
      </c>
      <c r="J44" s="31" t="s">
        <v>75</v>
      </c>
      <c r="K44" s="100">
        <v>8569</v>
      </c>
      <c r="L44" s="147">
        <v>8664</v>
      </c>
      <c r="M44" s="5"/>
      <c r="N44" s="5"/>
      <c r="O44" s="5"/>
      <c r="P44" s="5"/>
      <c r="Q44" s="5"/>
      <c r="R44" s="128"/>
      <c r="S44" s="5"/>
      <c r="T44" s="4" t="s">
        <v>33</v>
      </c>
      <c r="U44" s="110">
        <v>46290</v>
      </c>
      <c r="V44" s="142" t="s">
        <v>67</v>
      </c>
    </row>
    <row r="45" spans="1:22">
      <c r="A45" s="3" t="s">
        <v>99</v>
      </c>
      <c r="B45" s="4" t="s">
        <v>23</v>
      </c>
      <c r="C45" s="5">
        <v>12</v>
      </c>
      <c r="D45" s="5" t="s">
        <v>97</v>
      </c>
      <c r="E45" s="5">
        <v>2024</v>
      </c>
      <c r="F45" s="5" t="s">
        <v>29</v>
      </c>
      <c r="G45" s="64">
        <v>45503</v>
      </c>
      <c r="H45" s="7" t="s">
        <v>25</v>
      </c>
      <c r="I45" s="98" t="s">
        <v>55</v>
      </c>
      <c r="J45" s="31" t="s">
        <v>75</v>
      </c>
      <c r="K45" s="100">
        <v>8570</v>
      </c>
      <c r="L45" s="147">
        <v>8664</v>
      </c>
      <c r="M45" s="5"/>
      <c r="N45" s="5"/>
      <c r="O45" s="5"/>
      <c r="P45" s="5"/>
      <c r="Q45" s="5"/>
      <c r="R45" s="128"/>
      <c r="S45" s="5"/>
      <c r="T45" s="4" t="s">
        <v>33</v>
      </c>
      <c r="U45" s="110">
        <v>46295</v>
      </c>
      <c r="V45" s="142" t="s">
        <v>67</v>
      </c>
    </row>
    <row r="46" spans="1:22">
      <c r="A46" s="3" t="s">
        <v>100</v>
      </c>
      <c r="B46" s="4" t="s">
        <v>23</v>
      </c>
      <c r="C46" s="5">
        <v>8</v>
      </c>
      <c r="D46" s="5" t="s">
        <v>47</v>
      </c>
      <c r="E46" s="5">
        <v>2024</v>
      </c>
      <c r="F46" s="5" t="s">
        <v>29</v>
      </c>
      <c r="G46" s="64">
        <v>45358</v>
      </c>
      <c r="H46" s="7" t="s">
        <v>25</v>
      </c>
      <c r="I46" s="98" t="s">
        <v>55</v>
      </c>
      <c r="J46" s="31" t="s">
        <v>75</v>
      </c>
      <c r="K46" s="100">
        <v>8566</v>
      </c>
      <c r="L46" s="69">
        <v>8664</v>
      </c>
      <c r="M46" s="5"/>
      <c r="N46" s="5"/>
      <c r="O46" s="5"/>
      <c r="P46" s="5"/>
      <c r="Q46" s="5"/>
      <c r="R46" s="128"/>
      <c r="S46" s="5"/>
      <c r="T46" s="4" t="s">
        <v>33</v>
      </c>
      <c r="U46" s="110">
        <v>46149</v>
      </c>
      <c r="V46" s="142" t="s">
        <v>67</v>
      </c>
    </row>
    <row r="47" spans="1:22">
      <c r="A47" s="3" t="s">
        <v>101</v>
      </c>
      <c r="B47" s="4" t="s">
        <v>23</v>
      </c>
      <c r="C47" s="5">
        <v>6</v>
      </c>
      <c r="D47" s="5" t="s">
        <v>47</v>
      </c>
      <c r="E47" s="5">
        <v>2024</v>
      </c>
      <c r="F47" s="5" t="s">
        <v>29</v>
      </c>
      <c r="G47" s="64">
        <v>45483</v>
      </c>
      <c r="H47" s="7" t="s">
        <v>25</v>
      </c>
      <c r="I47" s="98" t="s">
        <v>55</v>
      </c>
      <c r="J47" s="31" t="s">
        <v>75</v>
      </c>
      <c r="K47" s="100">
        <v>8566</v>
      </c>
      <c r="L47" s="69">
        <v>8664</v>
      </c>
      <c r="M47" s="5"/>
      <c r="N47" s="5"/>
      <c r="O47" s="5"/>
      <c r="P47" s="5"/>
      <c r="Q47" s="5"/>
      <c r="R47" s="128"/>
      <c r="S47" s="5"/>
      <c r="T47" s="4" t="s">
        <v>33</v>
      </c>
      <c r="U47" s="110">
        <v>46363</v>
      </c>
      <c r="V47" s="142" t="s">
        <v>67</v>
      </c>
    </row>
    <row r="48" spans="1:22">
      <c r="A48" s="3" t="s">
        <v>102</v>
      </c>
      <c r="B48" s="4" t="s">
        <v>23</v>
      </c>
      <c r="C48" s="5">
        <v>6</v>
      </c>
      <c r="D48" s="5" t="s">
        <v>47</v>
      </c>
      <c r="E48" s="5">
        <v>2024</v>
      </c>
      <c r="F48" s="5" t="s">
        <v>29</v>
      </c>
      <c r="G48" s="64">
        <v>45419</v>
      </c>
      <c r="H48" s="7" t="s">
        <v>25</v>
      </c>
      <c r="I48" s="98" t="s">
        <v>55</v>
      </c>
      <c r="J48" s="31" t="s">
        <v>75</v>
      </c>
      <c r="K48" s="100">
        <v>8564</v>
      </c>
      <c r="L48" s="69">
        <v>8664</v>
      </c>
      <c r="M48" s="5"/>
      <c r="N48" s="5"/>
      <c r="O48" s="5"/>
      <c r="P48" s="5"/>
      <c r="Q48" s="5"/>
      <c r="R48" s="128"/>
      <c r="S48" s="5"/>
      <c r="T48" s="4" t="s">
        <v>33</v>
      </c>
      <c r="U48" s="110">
        <v>46235</v>
      </c>
      <c r="V48" s="107" t="s">
        <v>67</v>
      </c>
    </row>
    <row r="49" spans="1:22">
      <c r="A49" s="3" t="s">
        <v>103</v>
      </c>
      <c r="B49" s="4" t="s">
        <v>23</v>
      </c>
      <c r="C49" s="5">
        <v>10</v>
      </c>
      <c r="D49" s="5" t="s">
        <v>47</v>
      </c>
      <c r="E49" s="5">
        <v>2024</v>
      </c>
      <c r="F49" s="5" t="s">
        <v>29</v>
      </c>
      <c r="G49" s="64">
        <v>45389</v>
      </c>
      <c r="H49" s="7" t="s">
        <v>25</v>
      </c>
      <c r="I49" s="98" t="s">
        <v>55</v>
      </c>
      <c r="J49" s="31" t="s">
        <v>75</v>
      </c>
      <c r="K49" s="100">
        <v>8563</v>
      </c>
      <c r="L49" s="69">
        <v>8664</v>
      </c>
      <c r="M49" s="5"/>
      <c r="N49" s="5"/>
      <c r="O49" s="5"/>
      <c r="P49" s="5"/>
      <c r="Q49" s="5"/>
      <c r="R49" s="128"/>
      <c r="S49" s="5"/>
      <c r="T49" s="4" t="s">
        <v>33</v>
      </c>
      <c r="U49" s="110">
        <v>46180</v>
      </c>
      <c r="V49" s="142" t="s">
        <v>67</v>
      </c>
    </row>
    <row r="50" spans="1:22">
      <c r="A50" s="3" t="s">
        <v>104</v>
      </c>
      <c r="B50" s="4" t="s">
        <v>23</v>
      </c>
      <c r="C50" s="5">
        <v>6</v>
      </c>
      <c r="D50" s="5" t="s">
        <v>47</v>
      </c>
      <c r="E50" s="5">
        <v>2024</v>
      </c>
      <c r="F50" s="5" t="s">
        <v>29</v>
      </c>
      <c r="G50" s="64">
        <v>45468</v>
      </c>
      <c r="H50" s="7" t="s">
        <v>25</v>
      </c>
      <c r="I50" s="98" t="s">
        <v>55</v>
      </c>
      <c r="J50" s="31" t="s">
        <v>75</v>
      </c>
      <c r="K50" s="100" t="s">
        <v>105</v>
      </c>
      <c r="L50" s="69">
        <v>8664</v>
      </c>
      <c r="M50" s="5"/>
      <c r="N50" s="5"/>
      <c r="O50" s="5"/>
      <c r="P50" s="5"/>
      <c r="Q50" s="5"/>
      <c r="R50" s="128"/>
      <c r="S50" s="5"/>
      <c r="T50" s="4" t="s">
        <v>33</v>
      </c>
      <c r="U50" s="110">
        <v>46259</v>
      </c>
      <c r="V50" s="142" t="s">
        <v>67</v>
      </c>
    </row>
    <row r="51" spans="1:22">
      <c r="A51" s="3" t="s">
        <v>106</v>
      </c>
      <c r="B51" s="4" t="s">
        <v>23</v>
      </c>
      <c r="C51" s="5">
        <v>12</v>
      </c>
      <c r="D51" s="5" t="s">
        <v>47</v>
      </c>
      <c r="E51" s="5">
        <v>2024</v>
      </c>
      <c r="F51" s="5" t="s">
        <v>29</v>
      </c>
      <c r="G51" s="64">
        <v>45470</v>
      </c>
      <c r="H51" s="7" t="s">
        <v>25</v>
      </c>
      <c r="I51" s="98" t="s">
        <v>55</v>
      </c>
      <c r="J51" s="31" t="s">
        <v>75</v>
      </c>
      <c r="K51" s="100">
        <v>8561</v>
      </c>
      <c r="L51" s="69">
        <v>8664</v>
      </c>
      <c r="M51" s="5"/>
      <c r="N51" s="5"/>
      <c r="O51" s="5"/>
      <c r="P51" s="5"/>
      <c r="Q51" s="5"/>
      <c r="R51" s="128"/>
      <c r="S51" s="5"/>
      <c r="T51" s="4" t="s">
        <v>33</v>
      </c>
      <c r="U51" s="110">
        <v>46261</v>
      </c>
      <c r="V51" s="142" t="s">
        <v>67</v>
      </c>
    </row>
    <row r="52" spans="1:22">
      <c r="A52" s="3" t="s">
        <v>107</v>
      </c>
      <c r="B52" s="4" t="s">
        <v>23</v>
      </c>
      <c r="C52" s="5">
        <v>26</v>
      </c>
      <c r="D52" s="5" t="s">
        <v>47</v>
      </c>
      <c r="E52" s="5">
        <v>2024</v>
      </c>
      <c r="F52" s="5" t="s">
        <v>29</v>
      </c>
      <c r="G52" s="64">
        <v>45467</v>
      </c>
      <c r="H52" s="7" t="s">
        <v>25</v>
      </c>
      <c r="I52" s="98" t="s">
        <v>55</v>
      </c>
      <c r="J52" s="31" t="s">
        <v>75</v>
      </c>
      <c r="K52" s="100">
        <v>8560</v>
      </c>
      <c r="L52" s="69">
        <v>8664</v>
      </c>
      <c r="M52" s="5"/>
      <c r="N52" s="5"/>
      <c r="O52" s="5"/>
      <c r="P52" s="5"/>
      <c r="Q52" s="5"/>
      <c r="R52" s="128"/>
      <c r="S52" s="5"/>
      <c r="T52" s="4" t="s">
        <v>33</v>
      </c>
      <c r="U52" s="110">
        <v>46258</v>
      </c>
      <c r="V52" s="142" t="s">
        <v>67</v>
      </c>
    </row>
    <row r="53" spans="1:22">
      <c r="A53" s="3" t="s">
        <v>108</v>
      </c>
      <c r="B53" s="4" t="s">
        <v>23</v>
      </c>
      <c r="C53" s="5">
        <v>8</v>
      </c>
      <c r="D53" s="5" t="s">
        <v>47</v>
      </c>
      <c r="E53" s="5">
        <v>2024</v>
      </c>
      <c r="F53" s="5" t="s">
        <v>29</v>
      </c>
      <c r="G53" s="64">
        <v>45455</v>
      </c>
      <c r="H53" s="7" t="s">
        <v>25</v>
      </c>
      <c r="I53" s="98" t="s">
        <v>55</v>
      </c>
      <c r="J53" s="31" t="s">
        <v>75</v>
      </c>
      <c r="K53" s="100">
        <v>8558</v>
      </c>
      <c r="L53" s="69">
        <v>8664</v>
      </c>
      <c r="M53" s="5"/>
      <c r="N53" s="5"/>
      <c r="O53" s="5"/>
      <c r="P53" s="5"/>
      <c r="Q53" s="5"/>
      <c r="R53" s="128"/>
      <c r="S53" s="5"/>
      <c r="T53" s="4" t="s">
        <v>33</v>
      </c>
      <c r="U53" s="110">
        <v>46246</v>
      </c>
      <c r="V53" s="142" t="s">
        <v>109</v>
      </c>
    </row>
    <row r="54" spans="1:22">
      <c r="A54" s="3" t="s">
        <v>110</v>
      </c>
      <c r="B54" s="4" t="s">
        <v>23</v>
      </c>
      <c r="C54" s="5">
        <v>8</v>
      </c>
      <c r="D54" s="5" t="s">
        <v>47</v>
      </c>
      <c r="E54" s="5">
        <v>2024</v>
      </c>
      <c r="F54" s="5" t="s">
        <v>29</v>
      </c>
      <c r="G54" s="64">
        <v>45389</v>
      </c>
      <c r="H54" s="7" t="s">
        <v>25</v>
      </c>
      <c r="I54" s="98" t="s">
        <v>55</v>
      </c>
      <c r="J54" s="31" t="s">
        <v>75</v>
      </c>
      <c r="K54" s="100">
        <v>8557</v>
      </c>
      <c r="L54" s="69">
        <v>8664</v>
      </c>
      <c r="M54" s="5"/>
      <c r="N54" s="5"/>
      <c r="O54" s="5"/>
      <c r="P54" s="5"/>
      <c r="Q54" s="5"/>
      <c r="R54" s="128"/>
      <c r="S54" s="5"/>
      <c r="T54" s="4" t="s">
        <v>33</v>
      </c>
      <c r="U54" s="110">
        <v>46388</v>
      </c>
      <c r="V54" s="142" t="s">
        <v>109</v>
      </c>
    </row>
    <row r="55" spans="1:22">
      <c r="A55" s="3" t="s">
        <v>111</v>
      </c>
      <c r="B55" s="4" t="s">
        <v>23</v>
      </c>
      <c r="C55" s="5">
        <v>8</v>
      </c>
      <c r="D55" s="5" t="s">
        <v>50</v>
      </c>
      <c r="E55" s="5">
        <v>2024</v>
      </c>
      <c r="F55" s="5" t="s">
        <v>29</v>
      </c>
      <c r="G55" s="64">
        <v>45442</v>
      </c>
      <c r="H55" s="7" t="s">
        <v>25</v>
      </c>
      <c r="I55" s="98" t="s">
        <v>55</v>
      </c>
      <c r="J55" s="31" t="s">
        <v>75</v>
      </c>
      <c r="K55" s="100">
        <v>8553</v>
      </c>
      <c r="L55" s="69">
        <v>8664</v>
      </c>
      <c r="M55" s="5"/>
      <c r="N55" s="5"/>
      <c r="O55" s="5"/>
      <c r="P55" s="5"/>
      <c r="Q55" s="5"/>
      <c r="R55" s="128"/>
      <c r="S55" s="5"/>
      <c r="T55" s="4" t="s">
        <v>33</v>
      </c>
      <c r="U55" s="110">
        <v>46233</v>
      </c>
      <c r="V55" s="142" t="s">
        <v>109</v>
      </c>
    </row>
    <row r="56" spans="1:22">
      <c r="A56" s="3" t="s">
        <v>112</v>
      </c>
      <c r="B56" s="4" t="s">
        <v>23</v>
      </c>
      <c r="C56" s="5">
        <v>10</v>
      </c>
      <c r="D56" s="5" t="s">
        <v>58</v>
      </c>
      <c r="E56" s="5">
        <v>2024</v>
      </c>
      <c r="F56" s="5" t="s">
        <v>29</v>
      </c>
      <c r="G56" s="64">
        <v>45511</v>
      </c>
      <c r="H56" s="7" t="s">
        <v>25</v>
      </c>
      <c r="I56" s="98" t="s">
        <v>55</v>
      </c>
      <c r="J56" s="31" t="s">
        <v>75</v>
      </c>
      <c r="K56" s="100">
        <v>8540</v>
      </c>
      <c r="L56" s="69">
        <v>8664</v>
      </c>
      <c r="M56" s="5"/>
      <c r="N56" s="5"/>
      <c r="O56" s="5"/>
      <c r="P56" s="5"/>
      <c r="Q56" s="5"/>
      <c r="R56" s="128"/>
      <c r="S56" s="5"/>
      <c r="T56" s="4" t="s">
        <v>33</v>
      </c>
      <c r="U56" s="110">
        <v>46302</v>
      </c>
      <c r="V56" s="143" t="s">
        <v>87</v>
      </c>
    </row>
    <row r="57" spans="1:22">
      <c r="A57" s="3" t="s">
        <v>113</v>
      </c>
      <c r="B57" s="4" t="s">
        <v>23</v>
      </c>
      <c r="C57" s="5">
        <v>13</v>
      </c>
      <c r="D57" s="5" t="s">
        <v>58</v>
      </c>
      <c r="E57" s="5">
        <v>2024</v>
      </c>
      <c r="F57" s="5" t="s">
        <v>29</v>
      </c>
      <c r="G57" s="64">
        <v>45407</v>
      </c>
      <c r="H57" s="7" t="s">
        <v>114</v>
      </c>
      <c r="I57" s="98" t="s">
        <v>55</v>
      </c>
      <c r="J57" s="31" t="s">
        <v>75</v>
      </c>
      <c r="K57" s="100">
        <v>8541</v>
      </c>
      <c r="L57" s="69">
        <v>8664</v>
      </c>
      <c r="M57" s="5"/>
      <c r="N57" s="5"/>
      <c r="O57" s="5"/>
      <c r="P57" s="5"/>
      <c r="Q57" s="5"/>
      <c r="R57" s="128"/>
      <c r="S57" s="5"/>
      <c r="T57" s="4" t="s">
        <v>33</v>
      </c>
      <c r="U57" s="110">
        <v>46198</v>
      </c>
      <c r="V57" s="142" t="s">
        <v>109</v>
      </c>
    </row>
    <row r="58" spans="1:22">
      <c r="A58" s="3" t="s">
        <v>115</v>
      </c>
      <c r="B58" s="4" t="s">
        <v>23</v>
      </c>
      <c r="C58" s="5">
        <v>8</v>
      </c>
      <c r="D58" s="5" t="s">
        <v>47</v>
      </c>
      <c r="E58" s="5">
        <v>2024</v>
      </c>
      <c r="F58" s="5" t="s">
        <v>29</v>
      </c>
      <c r="G58" s="64">
        <v>45442</v>
      </c>
      <c r="H58" s="7" t="s">
        <v>25</v>
      </c>
      <c r="I58" s="98" t="s">
        <v>55</v>
      </c>
      <c r="J58" s="31" t="s">
        <v>75</v>
      </c>
      <c r="K58" s="100">
        <v>8545</v>
      </c>
      <c r="L58" s="69">
        <v>8664</v>
      </c>
      <c r="M58" s="5"/>
      <c r="N58" s="5"/>
      <c r="O58" s="5"/>
      <c r="P58" s="5"/>
      <c r="Q58" s="5"/>
      <c r="R58" s="128"/>
      <c r="S58" s="5"/>
      <c r="T58" s="4" t="s">
        <v>33</v>
      </c>
      <c r="U58" s="110">
        <v>46233</v>
      </c>
      <c r="V58" s="142" t="s">
        <v>109</v>
      </c>
    </row>
    <row r="59" spans="1:22">
      <c r="A59" s="3" t="s">
        <v>116</v>
      </c>
      <c r="B59" s="4" t="s">
        <v>23</v>
      </c>
      <c r="C59" s="5">
        <v>8</v>
      </c>
      <c r="D59" s="5" t="s">
        <v>58</v>
      </c>
      <c r="E59" s="5">
        <v>2024</v>
      </c>
      <c r="F59" s="5" t="s">
        <v>29</v>
      </c>
      <c r="G59" s="64">
        <v>45436</v>
      </c>
      <c r="H59" s="7" t="s">
        <v>25</v>
      </c>
      <c r="I59" s="98" t="s">
        <v>55</v>
      </c>
      <c r="J59" s="31" t="s">
        <v>75</v>
      </c>
      <c r="K59" s="100">
        <v>8544</v>
      </c>
      <c r="L59" s="69">
        <v>8664</v>
      </c>
      <c r="M59" s="5"/>
      <c r="N59" s="5"/>
      <c r="O59" s="5"/>
      <c r="P59" s="5"/>
      <c r="Q59" s="5"/>
      <c r="R59" s="128"/>
      <c r="S59" s="5"/>
      <c r="T59" s="4" t="s">
        <v>33</v>
      </c>
      <c r="U59" s="110">
        <v>46227</v>
      </c>
      <c r="V59" s="142" t="s">
        <v>109</v>
      </c>
    </row>
    <row r="60" spans="1:22">
      <c r="A60" s="3" t="s">
        <v>117</v>
      </c>
      <c r="B60" s="4" t="s">
        <v>23</v>
      </c>
      <c r="C60" s="5">
        <v>8</v>
      </c>
      <c r="D60" s="5" t="s">
        <v>50</v>
      </c>
      <c r="E60" s="5">
        <v>2024</v>
      </c>
      <c r="F60" s="5" t="s">
        <v>29</v>
      </c>
      <c r="G60" s="64">
        <v>45436</v>
      </c>
      <c r="H60" s="7" t="s">
        <v>25</v>
      </c>
      <c r="I60" s="98" t="s">
        <v>55</v>
      </c>
      <c r="J60" s="31" t="s">
        <v>75</v>
      </c>
      <c r="K60" s="100">
        <v>8543</v>
      </c>
      <c r="L60" s="69">
        <v>8664</v>
      </c>
      <c r="M60" s="5"/>
      <c r="N60" s="5"/>
      <c r="O60" s="5"/>
      <c r="P60" s="5"/>
      <c r="Q60" s="5"/>
      <c r="R60" s="128"/>
      <c r="S60" s="5"/>
      <c r="T60" s="4" t="s">
        <v>33</v>
      </c>
      <c r="U60" s="110">
        <v>46227</v>
      </c>
      <c r="V60" s="142" t="s">
        <v>109</v>
      </c>
    </row>
    <row r="61" spans="1:22">
      <c r="A61" s="3" t="s">
        <v>118</v>
      </c>
      <c r="B61" s="4" t="s">
        <v>23</v>
      </c>
      <c r="C61" s="5">
        <v>14</v>
      </c>
      <c r="D61" s="5" t="s">
        <v>58</v>
      </c>
      <c r="E61" s="5">
        <v>2024</v>
      </c>
      <c r="F61" s="5" t="s">
        <v>29</v>
      </c>
      <c r="G61" s="64">
        <v>45434</v>
      </c>
      <c r="H61" s="7" t="s">
        <v>114</v>
      </c>
      <c r="I61" s="98" t="s">
        <v>55</v>
      </c>
      <c r="J61" s="31" t="s">
        <v>75</v>
      </c>
      <c r="K61" s="100">
        <v>8542</v>
      </c>
      <c r="L61" s="69">
        <v>8664</v>
      </c>
      <c r="M61" s="5"/>
      <c r="N61" s="5"/>
      <c r="O61" s="5"/>
      <c r="P61" s="5"/>
      <c r="Q61" s="5"/>
      <c r="R61" s="128"/>
      <c r="S61" s="5"/>
      <c r="T61" s="4" t="s">
        <v>33</v>
      </c>
      <c r="U61" s="110">
        <v>46225</v>
      </c>
      <c r="V61" s="142" t="s">
        <v>109</v>
      </c>
    </row>
    <row r="62" spans="1:22">
      <c r="A62" s="3" t="s">
        <v>119</v>
      </c>
      <c r="B62" s="4" t="s">
        <v>23</v>
      </c>
      <c r="C62" s="5">
        <v>8</v>
      </c>
      <c r="D62" s="5" t="s">
        <v>58</v>
      </c>
      <c r="E62" s="5">
        <v>2024</v>
      </c>
      <c r="F62" s="5" t="s">
        <v>29</v>
      </c>
      <c r="G62" s="64">
        <v>45394</v>
      </c>
      <c r="H62" s="7" t="s">
        <v>25</v>
      </c>
      <c r="I62" s="98" t="s">
        <v>64</v>
      </c>
      <c r="J62" s="31" t="s">
        <v>75</v>
      </c>
      <c r="K62" s="100">
        <v>8539</v>
      </c>
      <c r="L62" s="69">
        <v>8664</v>
      </c>
      <c r="M62" s="5"/>
      <c r="N62" s="5"/>
      <c r="O62" s="5"/>
      <c r="P62" s="5"/>
      <c r="Q62" s="5"/>
      <c r="R62" s="128"/>
      <c r="S62" s="5"/>
      <c r="T62" s="4" t="s">
        <v>33</v>
      </c>
      <c r="U62" s="110">
        <v>46185</v>
      </c>
      <c r="V62" s="142" t="s">
        <v>109</v>
      </c>
    </row>
    <row r="63" spans="1:22">
      <c r="A63" s="3" t="s">
        <v>120</v>
      </c>
      <c r="B63" s="4" t="s">
        <v>23</v>
      </c>
      <c r="C63" s="5">
        <v>16</v>
      </c>
      <c r="D63" s="5" t="s">
        <v>58</v>
      </c>
      <c r="E63" s="5">
        <v>2024</v>
      </c>
      <c r="F63" s="5" t="s">
        <v>29</v>
      </c>
      <c r="G63" s="64">
        <v>45400</v>
      </c>
      <c r="H63" s="7" t="s">
        <v>25</v>
      </c>
      <c r="I63" s="98" t="s">
        <v>55</v>
      </c>
      <c r="J63" s="31" t="s">
        <v>75</v>
      </c>
      <c r="K63" s="100">
        <v>8538</v>
      </c>
      <c r="L63" s="69">
        <v>8664</v>
      </c>
      <c r="M63" s="5"/>
      <c r="N63" s="5"/>
      <c r="O63" s="5"/>
      <c r="P63" s="5"/>
      <c r="Q63" s="5"/>
      <c r="R63" s="128"/>
      <c r="S63" s="5"/>
      <c r="T63" s="4" t="s">
        <v>33</v>
      </c>
      <c r="U63" s="110">
        <v>46191</v>
      </c>
      <c r="V63" s="142" t="s">
        <v>109</v>
      </c>
    </row>
    <row r="64" spans="1:22">
      <c r="A64" s="3" t="s">
        <v>121</v>
      </c>
      <c r="B64" s="4" t="s">
        <v>23</v>
      </c>
      <c r="C64" s="5">
        <v>10</v>
      </c>
      <c r="D64" s="5" t="s">
        <v>58</v>
      </c>
      <c r="E64" s="5">
        <v>2024</v>
      </c>
      <c r="F64" s="5" t="s">
        <v>29</v>
      </c>
      <c r="G64" s="64">
        <v>45370</v>
      </c>
      <c r="H64" s="7" t="s">
        <v>25</v>
      </c>
      <c r="I64" s="98" t="s">
        <v>55</v>
      </c>
      <c r="J64" s="31" t="s">
        <v>122</v>
      </c>
      <c r="K64" s="100">
        <v>8536</v>
      </c>
      <c r="L64" s="69">
        <v>8664</v>
      </c>
      <c r="M64" s="5"/>
      <c r="N64" s="5"/>
      <c r="O64" s="5"/>
      <c r="P64" s="5"/>
      <c r="Q64" s="5"/>
      <c r="R64" s="128"/>
      <c r="S64" s="5"/>
      <c r="T64" s="4" t="s">
        <v>33</v>
      </c>
      <c r="U64" s="110">
        <v>46113</v>
      </c>
      <c r="V64" s="142" t="s">
        <v>109</v>
      </c>
    </row>
    <row r="65" spans="1:22">
      <c r="A65" s="3" t="s">
        <v>123</v>
      </c>
      <c r="B65" s="4" t="s">
        <v>23</v>
      </c>
      <c r="C65" s="5">
        <v>12</v>
      </c>
      <c r="D65" s="5" t="s">
        <v>58</v>
      </c>
      <c r="E65" s="5">
        <v>2024</v>
      </c>
      <c r="F65" s="5" t="s">
        <v>29</v>
      </c>
      <c r="G65" s="64">
        <v>45362</v>
      </c>
      <c r="H65" s="7" t="s">
        <v>25</v>
      </c>
      <c r="I65" s="98" t="s">
        <v>55</v>
      </c>
      <c r="J65" s="31" t="s">
        <v>122</v>
      </c>
      <c r="K65" s="100">
        <v>8535</v>
      </c>
      <c r="L65" s="69">
        <v>8664</v>
      </c>
      <c r="M65" s="5"/>
      <c r="N65" s="5"/>
      <c r="O65" s="5"/>
      <c r="P65" s="5"/>
      <c r="Q65" s="5"/>
      <c r="R65" s="128"/>
      <c r="S65" s="5"/>
      <c r="T65" s="4" t="s">
        <v>33</v>
      </c>
      <c r="U65" s="110">
        <v>46174</v>
      </c>
      <c r="V65" s="145" t="s">
        <v>109</v>
      </c>
    </row>
    <row r="66" spans="1:22">
      <c r="A66" s="3" t="s">
        <v>124</v>
      </c>
      <c r="B66" s="4" t="s">
        <v>23</v>
      </c>
      <c r="C66" s="5">
        <v>12</v>
      </c>
      <c r="D66" s="5" t="s">
        <v>66</v>
      </c>
      <c r="E66" s="5">
        <v>2024</v>
      </c>
      <c r="F66" s="5" t="s">
        <v>29</v>
      </c>
      <c r="G66" s="64">
        <v>45362</v>
      </c>
      <c r="H66" s="7" t="s">
        <v>25</v>
      </c>
      <c r="I66" s="98" t="s">
        <v>55</v>
      </c>
      <c r="J66" s="31" t="s">
        <v>122</v>
      </c>
      <c r="K66" s="100">
        <v>8534</v>
      </c>
      <c r="L66" s="69">
        <v>8664</v>
      </c>
      <c r="M66" s="5"/>
      <c r="N66" s="5"/>
      <c r="O66" s="5"/>
      <c r="P66" s="5"/>
      <c r="Q66" s="5"/>
      <c r="R66" s="128"/>
      <c r="S66" s="5"/>
      <c r="T66" s="4" t="s">
        <v>33</v>
      </c>
      <c r="U66" s="110">
        <v>46143</v>
      </c>
      <c r="V66" s="142" t="s">
        <v>109</v>
      </c>
    </row>
    <row r="67" spans="1:22">
      <c r="A67" s="3" t="s">
        <v>125</v>
      </c>
      <c r="B67" s="4" t="s">
        <v>23</v>
      </c>
      <c r="C67" s="5">
        <v>5</v>
      </c>
      <c r="D67" s="5" t="s">
        <v>66</v>
      </c>
      <c r="E67" s="5">
        <v>2024</v>
      </c>
      <c r="F67" s="5" t="s">
        <v>29</v>
      </c>
      <c r="G67" s="64">
        <v>45362</v>
      </c>
      <c r="H67" s="7" t="s">
        <v>25</v>
      </c>
      <c r="I67" s="98" t="s">
        <v>55</v>
      </c>
      <c r="J67" s="31" t="s">
        <v>122</v>
      </c>
      <c r="K67" s="100">
        <v>8533</v>
      </c>
      <c r="L67" s="69">
        <v>8664</v>
      </c>
      <c r="M67" s="5"/>
      <c r="N67" s="5"/>
      <c r="O67" s="5"/>
      <c r="P67" s="5"/>
      <c r="Q67" s="5"/>
      <c r="R67" s="128"/>
      <c r="S67" s="5"/>
      <c r="T67" s="4" t="s">
        <v>33</v>
      </c>
      <c r="U67" s="110">
        <v>46143</v>
      </c>
      <c r="V67" s="142" t="s">
        <v>109</v>
      </c>
    </row>
    <row r="68" spans="1:22">
      <c r="A68" s="3" t="s">
        <v>126</v>
      </c>
      <c r="B68" s="4" t="s">
        <v>23</v>
      </c>
      <c r="C68" s="5">
        <v>10</v>
      </c>
      <c r="D68" s="5" t="s">
        <v>66</v>
      </c>
      <c r="E68" s="5">
        <v>2024</v>
      </c>
      <c r="F68" s="5" t="s">
        <v>29</v>
      </c>
      <c r="G68" s="64">
        <v>45362</v>
      </c>
      <c r="H68" s="7" t="s">
        <v>114</v>
      </c>
      <c r="I68" s="98" t="s">
        <v>55</v>
      </c>
      <c r="J68" s="31" t="s">
        <v>122</v>
      </c>
      <c r="K68" s="100">
        <v>8537</v>
      </c>
      <c r="L68" s="69">
        <v>8664</v>
      </c>
      <c r="M68" s="5"/>
      <c r="N68" s="5"/>
      <c r="O68" s="5"/>
      <c r="P68" s="5"/>
      <c r="Q68" s="5"/>
      <c r="R68" s="128"/>
      <c r="S68" s="5"/>
      <c r="T68" s="4" t="s">
        <v>33</v>
      </c>
      <c r="U68" s="110">
        <v>46143</v>
      </c>
      <c r="V68" s="142" t="s">
        <v>109</v>
      </c>
    </row>
    <row r="69" spans="1:22">
      <c r="A69" s="3" t="s">
        <v>127</v>
      </c>
      <c r="B69" s="4" t="s">
        <v>23</v>
      </c>
      <c r="C69" s="5">
        <v>6</v>
      </c>
      <c r="D69" s="5" t="s">
        <v>74</v>
      </c>
      <c r="E69" s="5">
        <v>2024</v>
      </c>
      <c r="F69" s="5" t="s">
        <v>29</v>
      </c>
      <c r="G69" s="64">
        <v>45333</v>
      </c>
      <c r="H69" s="7" t="s">
        <v>85</v>
      </c>
      <c r="I69" s="98" t="s">
        <v>55</v>
      </c>
      <c r="J69" s="31" t="s">
        <v>122</v>
      </c>
      <c r="K69" s="100">
        <v>8530</v>
      </c>
      <c r="L69" s="100">
        <v>8631</v>
      </c>
      <c r="M69" s="151">
        <v>8671</v>
      </c>
      <c r="N69" s="5"/>
      <c r="O69" s="5"/>
      <c r="P69" s="5"/>
      <c r="Q69" s="5"/>
      <c r="R69" s="128"/>
      <c r="S69" s="5"/>
      <c r="T69" s="4" t="s">
        <v>33</v>
      </c>
      <c r="U69" s="110">
        <v>46082</v>
      </c>
      <c r="V69" s="143" t="s">
        <v>87</v>
      </c>
    </row>
    <row r="70" spans="1:22">
      <c r="A70" s="3" t="s">
        <v>128</v>
      </c>
      <c r="B70" s="4" t="s">
        <v>23</v>
      </c>
      <c r="C70" s="5">
        <v>12</v>
      </c>
      <c r="D70" s="5" t="s">
        <v>24</v>
      </c>
      <c r="E70" s="5">
        <v>2024</v>
      </c>
      <c r="F70" s="5" t="s">
        <v>29</v>
      </c>
      <c r="G70" s="64">
        <v>45445</v>
      </c>
      <c r="H70" s="7" t="s">
        <v>25</v>
      </c>
      <c r="I70" s="98" t="s">
        <v>55</v>
      </c>
      <c r="J70" s="31" t="s">
        <v>122</v>
      </c>
      <c r="K70" s="100">
        <v>8531</v>
      </c>
      <c r="L70" s="100">
        <v>8629</v>
      </c>
      <c r="M70" s="151">
        <v>8672</v>
      </c>
      <c r="N70" s="5"/>
      <c r="O70" s="5"/>
      <c r="P70" s="5"/>
      <c r="Q70" s="5"/>
      <c r="R70" s="128"/>
      <c r="S70" s="5"/>
      <c r="T70" s="4" t="s">
        <v>33</v>
      </c>
      <c r="U70" s="110">
        <v>46236</v>
      </c>
      <c r="V70" s="145" t="s">
        <v>109</v>
      </c>
    </row>
    <row r="71" spans="1:22">
      <c r="A71" s="3" t="s">
        <v>129</v>
      </c>
      <c r="B71" s="4" t="s">
        <v>23</v>
      </c>
      <c r="C71" s="5">
        <v>10</v>
      </c>
      <c r="D71" s="5" t="s">
        <v>24</v>
      </c>
      <c r="E71" s="5">
        <v>2024</v>
      </c>
      <c r="F71" s="5" t="s">
        <v>29</v>
      </c>
      <c r="G71" s="64">
        <v>45333</v>
      </c>
      <c r="H71" s="7" t="s">
        <v>25</v>
      </c>
      <c r="I71" s="98" t="s">
        <v>55</v>
      </c>
      <c r="J71" s="31" t="s">
        <v>122</v>
      </c>
      <c r="K71" s="100">
        <v>8532</v>
      </c>
      <c r="L71" s="100">
        <v>8630</v>
      </c>
      <c r="M71" s="151">
        <v>8672</v>
      </c>
      <c r="N71" s="5"/>
      <c r="O71" s="5"/>
      <c r="P71" s="5"/>
      <c r="Q71" s="5"/>
      <c r="R71" s="128"/>
      <c r="S71" s="5"/>
      <c r="T71" s="4" t="s">
        <v>33</v>
      </c>
      <c r="U71" s="110">
        <v>46113</v>
      </c>
      <c r="V71" s="145" t="s">
        <v>109</v>
      </c>
    </row>
    <row r="72" spans="1:22">
      <c r="A72" s="3" t="s">
        <v>130</v>
      </c>
      <c r="B72" s="4" t="s">
        <v>23</v>
      </c>
      <c r="C72" s="5">
        <v>8</v>
      </c>
      <c r="D72" s="5" t="s">
        <v>32</v>
      </c>
      <c r="E72" s="5">
        <v>2023</v>
      </c>
      <c r="F72" s="5" t="s">
        <v>29</v>
      </c>
      <c r="G72" s="64">
        <v>45272</v>
      </c>
      <c r="H72" s="7" t="s">
        <v>25</v>
      </c>
      <c r="I72" s="98" t="s">
        <v>55</v>
      </c>
      <c r="J72" s="31" t="s">
        <v>122</v>
      </c>
      <c r="K72" s="100">
        <v>8519</v>
      </c>
      <c r="L72" s="100">
        <v>8603</v>
      </c>
      <c r="M72" s="5"/>
      <c r="N72" s="5"/>
      <c r="O72" s="5"/>
      <c r="P72" s="5"/>
      <c r="Q72" s="5"/>
      <c r="R72" s="128"/>
      <c r="S72" s="5"/>
      <c r="T72" s="4" t="s">
        <v>33</v>
      </c>
      <c r="U72" s="110">
        <v>46430</v>
      </c>
      <c r="V72" s="143"/>
    </row>
    <row r="73" spans="1:22">
      <c r="A73" s="3" t="s">
        <v>131</v>
      </c>
      <c r="B73" s="4" t="s">
        <v>23</v>
      </c>
      <c r="C73" s="5">
        <v>6</v>
      </c>
      <c r="D73" s="5" t="s">
        <v>32</v>
      </c>
      <c r="E73" s="5">
        <v>2023</v>
      </c>
      <c r="F73" s="5" t="s">
        <v>29</v>
      </c>
      <c r="G73" s="64">
        <v>45272</v>
      </c>
      <c r="H73" s="7" t="s">
        <v>25</v>
      </c>
      <c r="I73" s="98" t="s">
        <v>55</v>
      </c>
      <c r="J73" s="31" t="s">
        <v>122</v>
      </c>
      <c r="K73" s="100">
        <v>8520</v>
      </c>
      <c r="L73" s="100">
        <v>8604</v>
      </c>
      <c r="M73" s="5"/>
      <c r="N73" s="5"/>
      <c r="O73" s="5"/>
      <c r="P73" s="5"/>
      <c r="Q73" s="5"/>
      <c r="R73" s="128"/>
      <c r="S73" s="5"/>
      <c r="T73" s="4" t="s">
        <v>33</v>
      </c>
      <c r="U73" s="110">
        <v>46419</v>
      </c>
      <c r="V73"/>
    </row>
    <row r="74" spans="1:22">
      <c r="A74" s="3" t="s">
        <v>132</v>
      </c>
      <c r="B74" s="4" t="s">
        <v>23</v>
      </c>
      <c r="C74" s="5">
        <v>8</v>
      </c>
      <c r="D74" s="5" t="s">
        <v>97</v>
      </c>
      <c r="E74" s="5">
        <v>2023</v>
      </c>
      <c r="F74" s="5" t="s">
        <v>29</v>
      </c>
      <c r="G74" s="64">
        <v>45120</v>
      </c>
      <c r="H74" s="7" t="s">
        <v>25</v>
      </c>
      <c r="I74" s="98" t="s">
        <v>86</v>
      </c>
      <c r="J74" s="31" t="s">
        <v>122</v>
      </c>
      <c r="K74" s="100">
        <v>8484</v>
      </c>
      <c r="L74" s="100">
        <v>8571</v>
      </c>
      <c r="M74" s="147">
        <v>8664</v>
      </c>
      <c r="N74" s="5"/>
      <c r="O74" s="5"/>
      <c r="P74" s="5"/>
      <c r="Q74" s="5"/>
      <c r="R74" s="128"/>
      <c r="S74" s="5"/>
      <c r="T74" s="4" t="s">
        <v>33</v>
      </c>
      <c r="U74" s="110">
        <v>46216</v>
      </c>
      <c r="V74"/>
    </row>
    <row r="75" spans="1:22">
      <c r="A75" s="3" t="s">
        <v>133</v>
      </c>
      <c r="B75" s="4" t="s">
        <v>23</v>
      </c>
      <c r="C75" s="5">
        <v>6</v>
      </c>
      <c r="D75" s="5" t="s">
        <v>97</v>
      </c>
      <c r="E75" s="5">
        <v>2023</v>
      </c>
      <c r="F75" s="5" t="s">
        <v>29</v>
      </c>
      <c r="G75" s="64">
        <v>45118</v>
      </c>
      <c r="H75" s="7" t="s">
        <v>85</v>
      </c>
      <c r="I75" s="98" t="s">
        <v>55</v>
      </c>
      <c r="J75" s="31" t="s">
        <v>122</v>
      </c>
      <c r="K75" s="100">
        <v>8481</v>
      </c>
      <c r="L75" s="100">
        <v>8572</v>
      </c>
      <c r="M75" s="147">
        <v>8664</v>
      </c>
      <c r="N75" s="5"/>
      <c r="O75" s="5"/>
      <c r="P75" s="5"/>
      <c r="Q75" s="5"/>
      <c r="R75" s="128"/>
      <c r="S75" s="5"/>
      <c r="T75" s="4" t="s">
        <v>33</v>
      </c>
      <c r="U75" s="110">
        <v>46388</v>
      </c>
      <c r="V75"/>
    </row>
    <row r="76" spans="1:22" s="170" customFormat="1">
      <c r="A76" s="178" t="s">
        <v>134</v>
      </c>
      <c r="B76" s="168" t="s">
        <v>23</v>
      </c>
      <c r="C76" s="162">
        <v>4</v>
      </c>
      <c r="D76" s="162" t="s">
        <v>37</v>
      </c>
      <c r="E76" s="162">
        <v>2023</v>
      </c>
      <c r="F76" s="162" t="s">
        <v>135</v>
      </c>
      <c r="G76" s="179">
        <v>45229</v>
      </c>
      <c r="H76" s="112" t="s">
        <v>25</v>
      </c>
      <c r="I76" s="164" t="s">
        <v>55</v>
      </c>
      <c r="J76" s="167" t="s">
        <v>122</v>
      </c>
      <c r="K76" s="168">
        <v>8496</v>
      </c>
      <c r="L76" s="168">
        <v>8605</v>
      </c>
      <c r="M76" s="162">
        <v>8668</v>
      </c>
      <c r="N76" s="162"/>
      <c r="O76" s="162"/>
      <c r="P76" s="162"/>
      <c r="Q76" s="162"/>
      <c r="R76" s="180"/>
      <c r="S76" s="162"/>
      <c r="T76" s="168" t="s">
        <v>33</v>
      </c>
      <c r="U76" s="169">
        <v>46082</v>
      </c>
    </row>
    <row r="77" spans="1:22">
      <c r="A77" s="3" t="s">
        <v>136</v>
      </c>
      <c r="B77" s="4" t="s">
        <v>23</v>
      </c>
      <c r="C77" s="5">
        <v>5</v>
      </c>
      <c r="D77" s="5" t="s">
        <v>32</v>
      </c>
      <c r="E77" s="5">
        <v>2023</v>
      </c>
      <c r="F77" s="5" t="s">
        <v>29</v>
      </c>
      <c r="G77" s="64">
        <v>45243</v>
      </c>
      <c r="H77" s="7" t="s">
        <v>85</v>
      </c>
      <c r="I77" s="98" t="s">
        <v>55</v>
      </c>
      <c r="J77" s="31" t="s">
        <v>122</v>
      </c>
      <c r="K77" s="100">
        <v>8497</v>
      </c>
      <c r="L77" s="100">
        <v>8606</v>
      </c>
      <c r="M77" s="5"/>
      <c r="N77" s="5"/>
      <c r="O77" s="5"/>
      <c r="P77" s="5"/>
      <c r="Q77" s="5"/>
      <c r="R77" s="128"/>
      <c r="S77" s="5"/>
      <c r="T77" s="4" t="s">
        <v>33</v>
      </c>
      <c r="U77" s="110">
        <v>46388</v>
      </c>
      <c r="V77"/>
    </row>
    <row r="78" spans="1:22">
      <c r="A78" s="9" t="s">
        <v>137</v>
      </c>
      <c r="B78" s="10" t="s">
        <v>23</v>
      </c>
      <c r="C78" s="11">
        <v>4</v>
      </c>
      <c r="D78" s="11" t="s">
        <v>74</v>
      </c>
      <c r="E78" s="11">
        <v>2023</v>
      </c>
      <c r="F78" s="5" t="s">
        <v>29</v>
      </c>
      <c r="G78" s="65">
        <v>44935</v>
      </c>
      <c r="H78" s="7" t="s">
        <v>85</v>
      </c>
      <c r="I78" s="98" t="s">
        <v>86</v>
      </c>
      <c r="J78" s="31" t="s">
        <v>122</v>
      </c>
      <c r="K78" s="101">
        <v>8456</v>
      </c>
      <c r="L78" s="100">
        <v>8578</v>
      </c>
      <c r="M78" s="100">
        <v>8632</v>
      </c>
      <c r="N78" s="151">
        <v>8671</v>
      </c>
      <c r="O78" s="11"/>
      <c r="P78" s="11"/>
      <c r="Q78" s="11"/>
      <c r="R78" s="129"/>
      <c r="S78" s="5"/>
      <c r="T78" s="4" t="s">
        <v>33</v>
      </c>
      <c r="U78" s="110">
        <v>46447</v>
      </c>
      <c r="V78"/>
    </row>
    <row r="79" spans="1:22">
      <c r="A79" s="3" t="s">
        <v>138</v>
      </c>
      <c r="B79" s="4" t="s">
        <v>23</v>
      </c>
      <c r="C79" s="5">
        <v>8</v>
      </c>
      <c r="D79" s="5" t="s">
        <v>32</v>
      </c>
      <c r="E79" s="5">
        <v>2023</v>
      </c>
      <c r="F79" s="5" t="s">
        <v>29</v>
      </c>
      <c r="G79" s="64">
        <v>45244</v>
      </c>
      <c r="H79" s="7" t="s">
        <v>25</v>
      </c>
      <c r="I79" s="98" t="s">
        <v>55</v>
      </c>
      <c r="J79" s="31" t="s">
        <v>122</v>
      </c>
      <c r="K79" s="100">
        <v>8498</v>
      </c>
      <c r="L79" s="100">
        <v>8607</v>
      </c>
      <c r="M79" s="5"/>
      <c r="N79" s="5"/>
      <c r="O79" s="5"/>
      <c r="P79" s="5"/>
      <c r="Q79" s="5"/>
      <c r="R79" s="128"/>
      <c r="S79" s="5"/>
      <c r="T79" s="4" t="s">
        <v>33</v>
      </c>
      <c r="U79" s="110">
        <v>46388</v>
      </c>
      <c r="V79"/>
    </row>
    <row r="80" spans="1:22">
      <c r="A80" s="3" t="s">
        <v>139</v>
      </c>
      <c r="B80" s="4" t="s">
        <v>23</v>
      </c>
      <c r="C80" s="5">
        <v>8</v>
      </c>
      <c r="D80" s="5" t="s">
        <v>97</v>
      </c>
      <c r="E80" s="5">
        <v>2023</v>
      </c>
      <c r="F80" s="5" t="s">
        <v>29</v>
      </c>
      <c r="G80" s="64">
        <v>45069</v>
      </c>
      <c r="H80" s="7" t="s">
        <v>25</v>
      </c>
      <c r="I80" s="98" t="s">
        <v>55</v>
      </c>
      <c r="J80" s="31" t="s">
        <v>122</v>
      </c>
      <c r="K80" s="100">
        <v>8482</v>
      </c>
      <c r="L80" s="8">
        <v>8573</v>
      </c>
      <c r="M80" s="147">
        <v>8664</v>
      </c>
      <c r="N80" s="5"/>
      <c r="O80" s="5"/>
      <c r="P80" s="5"/>
      <c r="Q80" s="5"/>
      <c r="R80" s="128"/>
      <c r="S80" s="5"/>
      <c r="T80" s="4" t="s">
        <v>33</v>
      </c>
      <c r="U80" s="110">
        <v>46266</v>
      </c>
      <c r="V80"/>
    </row>
    <row r="81" spans="1:22">
      <c r="A81" s="3" t="s">
        <v>140</v>
      </c>
      <c r="B81" s="4" t="s">
        <v>23</v>
      </c>
      <c r="C81" s="5">
        <v>22</v>
      </c>
      <c r="D81" s="5" t="s">
        <v>97</v>
      </c>
      <c r="E81" s="5">
        <v>2023</v>
      </c>
      <c r="F81" s="5" t="s">
        <v>29</v>
      </c>
      <c r="G81" s="64">
        <v>45113</v>
      </c>
      <c r="H81" s="7" t="s">
        <v>25</v>
      </c>
      <c r="I81" s="98" t="s">
        <v>64</v>
      </c>
      <c r="J81" s="31" t="s">
        <v>122</v>
      </c>
      <c r="K81" s="100">
        <v>8483</v>
      </c>
      <c r="L81" s="8">
        <v>8574</v>
      </c>
      <c r="M81" s="147">
        <v>8664</v>
      </c>
      <c r="N81" s="5"/>
      <c r="O81" s="5"/>
      <c r="P81" s="5"/>
      <c r="Q81" s="5"/>
      <c r="R81" s="128"/>
      <c r="S81" s="5"/>
      <c r="T81" s="4" t="s">
        <v>33</v>
      </c>
      <c r="U81" s="110">
        <v>46271</v>
      </c>
      <c r="V81"/>
    </row>
    <row r="82" spans="1:22">
      <c r="A82" s="3" t="s">
        <v>141</v>
      </c>
      <c r="B82" s="4" t="s">
        <v>23</v>
      </c>
      <c r="C82" s="5">
        <v>4</v>
      </c>
      <c r="D82" s="5" t="s">
        <v>74</v>
      </c>
      <c r="E82" s="5">
        <v>2023</v>
      </c>
      <c r="F82" s="5" t="s">
        <v>29</v>
      </c>
      <c r="G82" s="64">
        <v>44937</v>
      </c>
      <c r="H82" s="7" t="s">
        <v>85</v>
      </c>
      <c r="I82" s="98" t="s">
        <v>86</v>
      </c>
      <c r="J82" s="31" t="s">
        <v>122</v>
      </c>
      <c r="K82" s="100">
        <v>8457</v>
      </c>
      <c r="L82" s="8">
        <v>8521</v>
      </c>
      <c r="M82" s="5">
        <v>8633</v>
      </c>
      <c r="N82" s="151">
        <v>8671</v>
      </c>
      <c r="O82" s="5"/>
      <c r="P82" s="5"/>
      <c r="Q82" s="5"/>
      <c r="R82" s="128"/>
      <c r="S82" s="5"/>
      <c r="T82" s="4" t="s">
        <v>33</v>
      </c>
      <c r="U82" s="110">
        <v>46447</v>
      </c>
      <c r="V82"/>
    </row>
    <row r="83" spans="1:22">
      <c r="A83" s="3" t="s">
        <v>142</v>
      </c>
      <c r="B83" s="4" t="s">
        <v>23</v>
      </c>
      <c r="C83" s="5">
        <v>6</v>
      </c>
      <c r="D83" s="5" t="s">
        <v>58</v>
      </c>
      <c r="E83" s="5">
        <v>2023</v>
      </c>
      <c r="F83" s="5" t="s">
        <v>29</v>
      </c>
      <c r="G83" s="64">
        <v>45000</v>
      </c>
      <c r="H83" s="7" t="s">
        <v>85</v>
      </c>
      <c r="I83" s="98" t="s">
        <v>55</v>
      </c>
      <c r="J83" s="31" t="s">
        <v>122</v>
      </c>
      <c r="K83" s="100">
        <v>8467</v>
      </c>
      <c r="L83" s="8">
        <v>8546</v>
      </c>
      <c r="M83" s="69">
        <v>8664</v>
      </c>
      <c r="N83" s="5"/>
      <c r="O83" s="5"/>
      <c r="P83" s="5"/>
      <c r="Q83" s="5"/>
      <c r="R83" s="128"/>
      <c r="S83" s="5"/>
      <c r="T83" s="4" t="s">
        <v>33</v>
      </c>
      <c r="U83" s="110">
        <v>46174</v>
      </c>
      <c r="V83"/>
    </row>
    <row r="84" spans="1:22">
      <c r="A84" s="3" t="s">
        <v>143</v>
      </c>
      <c r="B84" s="4" t="s">
        <v>23</v>
      </c>
      <c r="C84" s="5">
        <v>18</v>
      </c>
      <c r="D84" s="5" t="s">
        <v>47</v>
      </c>
      <c r="E84" s="5">
        <v>2023</v>
      </c>
      <c r="F84" s="5" t="s">
        <v>29</v>
      </c>
      <c r="G84" s="64">
        <v>45084</v>
      </c>
      <c r="H84" s="7" t="s">
        <v>25</v>
      </c>
      <c r="I84" s="98" t="s">
        <v>55</v>
      </c>
      <c r="J84" s="31" t="s">
        <v>122</v>
      </c>
      <c r="K84" s="100">
        <v>8458</v>
      </c>
      <c r="L84" s="8">
        <v>8554</v>
      </c>
      <c r="M84" s="69">
        <v>8664</v>
      </c>
      <c r="N84" s="5"/>
      <c r="O84" s="5"/>
      <c r="P84" s="5"/>
      <c r="Q84" s="5"/>
      <c r="R84" s="128"/>
      <c r="S84" s="5"/>
      <c r="T84" s="4" t="s">
        <v>33</v>
      </c>
      <c r="U84" s="110">
        <v>46241</v>
      </c>
      <c r="V84"/>
    </row>
    <row r="85" spans="1:22">
      <c r="A85" s="3" t="s">
        <v>144</v>
      </c>
      <c r="B85" s="4" t="s">
        <v>23</v>
      </c>
      <c r="C85" s="5">
        <v>10</v>
      </c>
      <c r="D85" s="5" t="s">
        <v>58</v>
      </c>
      <c r="E85" s="5">
        <v>2023</v>
      </c>
      <c r="F85" s="5" t="s">
        <v>29</v>
      </c>
      <c r="G85" s="64">
        <v>45017</v>
      </c>
      <c r="H85" s="7" t="s">
        <v>85</v>
      </c>
      <c r="I85" s="98" t="s">
        <v>55</v>
      </c>
      <c r="J85" s="31" t="s">
        <v>122</v>
      </c>
      <c r="K85" s="100">
        <v>8459</v>
      </c>
      <c r="L85" s="8">
        <v>8547</v>
      </c>
      <c r="M85" s="69">
        <v>8664</v>
      </c>
      <c r="N85" s="5"/>
      <c r="O85" s="5"/>
      <c r="P85" s="5"/>
      <c r="Q85" s="5"/>
      <c r="R85" s="128"/>
      <c r="S85" s="5"/>
      <c r="T85" s="4" t="s">
        <v>33</v>
      </c>
      <c r="U85" s="110">
        <v>46174</v>
      </c>
      <c r="V85"/>
    </row>
    <row r="86" spans="1:22">
      <c r="A86" s="3" t="s">
        <v>145</v>
      </c>
      <c r="B86" s="4" t="s">
        <v>23</v>
      </c>
      <c r="C86" s="5">
        <v>3</v>
      </c>
      <c r="D86" s="5" t="s">
        <v>35</v>
      </c>
      <c r="E86" s="5">
        <v>2022</v>
      </c>
      <c r="F86" s="5" t="s">
        <v>29</v>
      </c>
      <c r="G86" s="64">
        <v>44834</v>
      </c>
      <c r="H86" s="7" t="s">
        <v>85</v>
      </c>
      <c r="I86" s="98" t="s">
        <v>55</v>
      </c>
      <c r="J86" s="31" t="s">
        <v>122</v>
      </c>
      <c r="K86" s="100">
        <v>8428</v>
      </c>
      <c r="L86" s="8">
        <v>8499</v>
      </c>
      <c r="M86" s="8">
        <v>8593</v>
      </c>
      <c r="N86" s="69">
        <v>8667</v>
      </c>
      <c r="O86" s="5"/>
      <c r="P86" s="5"/>
      <c r="Q86" s="5"/>
      <c r="R86" s="128"/>
      <c r="S86" s="5"/>
      <c r="T86" s="4" t="s">
        <v>33</v>
      </c>
      <c r="U86" s="107">
        <v>46357</v>
      </c>
      <c r="V86"/>
    </row>
    <row r="87" spans="1:22">
      <c r="A87" s="3" t="s">
        <v>146</v>
      </c>
      <c r="B87" s="4" t="s">
        <v>23</v>
      </c>
      <c r="C87" s="5">
        <v>10</v>
      </c>
      <c r="D87" s="5" t="s">
        <v>32</v>
      </c>
      <c r="E87" s="5">
        <v>2022</v>
      </c>
      <c r="F87" s="5" t="s">
        <v>29</v>
      </c>
      <c r="G87" s="64">
        <v>44873</v>
      </c>
      <c r="H87" s="7" t="s">
        <v>25</v>
      </c>
      <c r="I87" s="98" t="s">
        <v>55</v>
      </c>
      <c r="J87" s="31" t="s">
        <v>122</v>
      </c>
      <c r="K87" s="100">
        <v>8429</v>
      </c>
      <c r="L87" s="8">
        <v>8500</v>
      </c>
      <c r="M87" s="8">
        <v>8608</v>
      </c>
      <c r="N87" s="5"/>
      <c r="O87" s="5"/>
      <c r="P87" s="5"/>
      <c r="Q87" s="5"/>
      <c r="R87" s="128"/>
      <c r="S87" s="5"/>
      <c r="T87" s="4" t="s">
        <v>33</v>
      </c>
      <c r="U87" s="110">
        <v>46419</v>
      </c>
      <c r="V87"/>
    </row>
    <row r="88" spans="1:22">
      <c r="A88" s="3" t="s">
        <v>147</v>
      </c>
      <c r="B88" s="4" t="s">
        <v>23</v>
      </c>
      <c r="C88" s="5">
        <v>4</v>
      </c>
      <c r="D88" s="5" t="s">
        <v>37</v>
      </c>
      <c r="E88" s="5">
        <v>2022</v>
      </c>
      <c r="F88" s="5" t="s">
        <v>29</v>
      </c>
      <c r="G88" s="64">
        <v>44905</v>
      </c>
      <c r="H88" s="7" t="s">
        <v>85</v>
      </c>
      <c r="I88" s="12" t="s">
        <v>86</v>
      </c>
      <c r="J88" s="31" t="s">
        <v>122</v>
      </c>
      <c r="K88" s="100">
        <v>8427</v>
      </c>
      <c r="L88" s="8">
        <v>8501</v>
      </c>
      <c r="M88" s="8">
        <v>8609</v>
      </c>
      <c r="N88" s="69">
        <v>8668</v>
      </c>
      <c r="O88" s="5"/>
      <c r="P88" s="5"/>
      <c r="Q88" s="5"/>
      <c r="R88" s="128"/>
      <c r="S88" s="5"/>
      <c r="T88" s="4" t="s">
        <v>33</v>
      </c>
      <c r="U88" s="110">
        <v>46388</v>
      </c>
      <c r="V88"/>
    </row>
    <row r="89" spans="1:22">
      <c r="A89" s="3" t="s">
        <v>148</v>
      </c>
      <c r="B89" s="4" t="s">
        <v>23</v>
      </c>
      <c r="C89" s="5">
        <v>3</v>
      </c>
      <c r="D89" s="5" t="s">
        <v>35</v>
      </c>
      <c r="E89" s="5">
        <v>2022</v>
      </c>
      <c r="F89" s="5" t="s">
        <v>29</v>
      </c>
      <c r="G89" s="64">
        <v>44834</v>
      </c>
      <c r="H89" s="7" t="s">
        <v>85</v>
      </c>
      <c r="I89" s="98" t="s">
        <v>55</v>
      </c>
      <c r="J89" s="31" t="s">
        <v>122</v>
      </c>
      <c r="K89" s="100">
        <v>8420</v>
      </c>
      <c r="L89" s="8">
        <v>8502</v>
      </c>
      <c r="M89" s="8">
        <v>8592</v>
      </c>
      <c r="N89" s="69">
        <v>8667</v>
      </c>
      <c r="O89" s="5"/>
      <c r="P89" s="5"/>
      <c r="Q89" s="5"/>
      <c r="R89" s="128"/>
      <c r="S89" s="5"/>
      <c r="T89" s="4" t="s">
        <v>33</v>
      </c>
      <c r="U89" s="107">
        <v>46357</v>
      </c>
      <c r="V89"/>
    </row>
    <row r="90" spans="1:22">
      <c r="A90" s="3" t="s">
        <v>149</v>
      </c>
      <c r="B90" s="4" t="s">
        <v>23</v>
      </c>
      <c r="C90" s="5">
        <v>20</v>
      </c>
      <c r="D90" s="5" t="s">
        <v>35</v>
      </c>
      <c r="E90" s="5">
        <v>2022</v>
      </c>
      <c r="F90" s="5" t="s">
        <v>29</v>
      </c>
      <c r="G90" s="64">
        <v>44834</v>
      </c>
      <c r="H90" s="7" t="s">
        <v>25</v>
      </c>
      <c r="I90" s="98" t="s">
        <v>55</v>
      </c>
      <c r="J90" s="31" t="s">
        <v>122</v>
      </c>
      <c r="K90" s="100">
        <v>8419</v>
      </c>
      <c r="L90" s="8">
        <v>8505</v>
      </c>
      <c r="M90" s="8">
        <v>8591</v>
      </c>
      <c r="N90" s="69">
        <v>8667</v>
      </c>
      <c r="O90" s="5"/>
      <c r="P90" s="5"/>
      <c r="Q90" s="5"/>
      <c r="R90" s="128"/>
      <c r="S90" s="5"/>
      <c r="T90" s="4" t="s">
        <v>33</v>
      </c>
      <c r="U90" s="110">
        <v>46357</v>
      </c>
      <c r="V90"/>
    </row>
    <row r="91" spans="1:22">
      <c r="A91" s="3" t="s">
        <v>150</v>
      </c>
      <c r="B91" s="4" t="s">
        <v>23</v>
      </c>
      <c r="C91" s="5">
        <v>10</v>
      </c>
      <c r="D91" s="5" t="s">
        <v>24</v>
      </c>
      <c r="E91" s="5">
        <v>2022</v>
      </c>
      <c r="F91" s="5" t="s">
        <v>29</v>
      </c>
      <c r="G91" s="64">
        <v>44601</v>
      </c>
      <c r="H91" s="5" t="s">
        <v>151</v>
      </c>
      <c r="I91" s="12" t="s">
        <v>152</v>
      </c>
      <c r="J91" s="31" t="s">
        <v>122</v>
      </c>
      <c r="K91" s="100">
        <v>8401</v>
      </c>
      <c r="L91" s="8">
        <v>8460</v>
      </c>
      <c r="M91" s="8">
        <v>8522</v>
      </c>
      <c r="N91" s="5">
        <v>8634</v>
      </c>
      <c r="O91" s="151">
        <v>8672</v>
      </c>
      <c r="P91" s="13"/>
      <c r="Q91" s="13"/>
      <c r="R91" s="130"/>
      <c r="S91" s="13"/>
      <c r="T91" s="4" t="s">
        <v>33</v>
      </c>
      <c r="U91" s="110">
        <v>45756</v>
      </c>
      <c r="V91"/>
    </row>
    <row r="92" spans="1:22">
      <c r="A92" s="14" t="s">
        <v>153</v>
      </c>
      <c r="B92" s="15" t="s">
        <v>23</v>
      </c>
      <c r="C92" s="16">
        <v>12</v>
      </c>
      <c r="D92" s="5" t="s">
        <v>58</v>
      </c>
      <c r="E92" s="5">
        <v>2022</v>
      </c>
      <c r="F92" s="5" t="s">
        <v>29</v>
      </c>
      <c r="G92" s="64">
        <v>45385</v>
      </c>
      <c r="H92" s="5" t="s">
        <v>85</v>
      </c>
      <c r="I92" s="12" t="s">
        <v>86</v>
      </c>
      <c r="J92" s="31" t="s">
        <v>122</v>
      </c>
      <c r="K92" s="100">
        <v>8409</v>
      </c>
      <c r="L92" s="8">
        <v>8471</v>
      </c>
      <c r="M92" s="8">
        <v>8548</v>
      </c>
      <c r="N92" s="69">
        <v>8664</v>
      </c>
      <c r="O92" s="13"/>
      <c r="P92" s="13"/>
      <c r="Q92" s="13"/>
      <c r="R92" s="130"/>
      <c r="S92" s="13"/>
      <c r="T92" s="4" t="s">
        <v>33</v>
      </c>
      <c r="U92" s="110">
        <v>46174</v>
      </c>
      <c r="V92"/>
    </row>
    <row r="93" spans="1:22">
      <c r="A93" s="14" t="s">
        <v>154</v>
      </c>
      <c r="B93" s="4" t="s">
        <v>23</v>
      </c>
      <c r="C93" s="13">
        <v>6</v>
      </c>
      <c r="D93" s="5" t="s">
        <v>58</v>
      </c>
      <c r="E93" s="5">
        <v>2022</v>
      </c>
      <c r="F93" s="5" t="s">
        <v>29</v>
      </c>
      <c r="G93" s="64">
        <v>45393</v>
      </c>
      <c r="H93" s="5" t="s">
        <v>85</v>
      </c>
      <c r="I93" s="12" t="s">
        <v>86</v>
      </c>
      <c r="J93" s="31" t="s">
        <v>122</v>
      </c>
      <c r="K93" s="100">
        <v>8410</v>
      </c>
      <c r="L93" s="8">
        <v>8472</v>
      </c>
      <c r="M93" s="8">
        <v>8549</v>
      </c>
      <c r="N93" s="69">
        <v>8664</v>
      </c>
      <c r="O93" s="13"/>
      <c r="P93" s="13"/>
      <c r="Q93" s="13"/>
      <c r="R93" s="130"/>
      <c r="S93" s="13"/>
      <c r="T93" s="4" t="s">
        <v>33</v>
      </c>
      <c r="U93" s="110">
        <v>46184</v>
      </c>
      <c r="V93"/>
    </row>
    <row r="94" spans="1:22">
      <c r="A94" s="17" t="s">
        <v>155</v>
      </c>
      <c r="B94" s="7" t="s">
        <v>23</v>
      </c>
      <c r="C94" s="7">
        <v>4</v>
      </c>
      <c r="D94" s="7" t="s">
        <v>97</v>
      </c>
      <c r="E94" s="7">
        <v>2021</v>
      </c>
      <c r="F94" s="5" t="s">
        <v>29</v>
      </c>
      <c r="G94" s="66">
        <v>44392</v>
      </c>
      <c r="H94" s="7" t="s">
        <v>85</v>
      </c>
      <c r="I94" s="98" t="s">
        <v>55</v>
      </c>
      <c r="J94" s="12" t="s">
        <v>122</v>
      </c>
      <c r="K94" s="18">
        <v>8348</v>
      </c>
      <c r="L94" s="8">
        <v>8487</v>
      </c>
      <c r="M94" s="8">
        <v>8488</v>
      </c>
      <c r="N94" s="8">
        <v>8576</v>
      </c>
      <c r="O94" s="147">
        <v>8664</v>
      </c>
      <c r="P94" s="7"/>
      <c r="Q94" s="7"/>
      <c r="R94" s="98"/>
      <c r="S94" s="31"/>
      <c r="T94" s="4" t="s">
        <v>33</v>
      </c>
      <c r="U94" s="110">
        <v>46280</v>
      </c>
      <c r="V94"/>
    </row>
    <row r="95" spans="1:22">
      <c r="A95" s="17" t="s">
        <v>156</v>
      </c>
      <c r="B95" s="7" t="s">
        <v>23</v>
      </c>
      <c r="C95" s="7">
        <v>15</v>
      </c>
      <c r="D95" s="7" t="s">
        <v>32</v>
      </c>
      <c r="E95" s="7">
        <v>2021</v>
      </c>
      <c r="F95" s="5" t="s">
        <v>29</v>
      </c>
      <c r="G95" s="66">
        <v>44550</v>
      </c>
      <c r="H95" s="7" t="s">
        <v>114</v>
      </c>
      <c r="I95" s="98" t="s">
        <v>55</v>
      </c>
      <c r="J95" s="12" t="s">
        <v>122</v>
      </c>
      <c r="K95" s="18">
        <v>8369</v>
      </c>
      <c r="L95" s="8">
        <v>8503</v>
      </c>
      <c r="M95" s="8">
        <v>8504</v>
      </c>
      <c r="N95" s="8">
        <v>8610</v>
      </c>
      <c r="O95" s="7"/>
      <c r="P95" s="7"/>
      <c r="Q95" s="7"/>
      <c r="R95" s="98"/>
      <c r="S95" s="31"/>
      <c r="T95" s="4" t="s">
        <v>33</v>
      </c>
      <c r="U95" s="110">
        <v>46419</v>
      </c>
      <c r="V95"/>
    </row>
    <row r="96" spans="1:22">
      <c r="A96" s="17" t="s">
        <v>157</v>
      </c>
      <c r="B96" s="7" t="s">
        <v>23</v>
      </c>
      <c r="C96" s="7">
        <v>6</v>
      </c>
      <c r="D96" s="7" t="s">
        <v>47</v>
      </c>
      <c r="E96" s="7">
        <v>2021</v>
      </c>
      <c r="F96" s="5" t="s">
        <v>29</v>
      </c>
      <c r="G96" s="66">
        <v>44358</v>
      </c>
      <c r="H96" s="7" t="s">
        <v>85</v>
      </c>
      <c r="I96" s="98" t="s">
        <v>55</v>
      </c>
      <c r="J96" s="12" t="s">
        <v>122</v>
      </c>
      <c r="K96" s="18">
        <v>8345</v>
      </c>
      <c r="L96" s="8">
        <v>8412</v>
      </c>
      <c r="M96" s="8">
        <v>8473</v>
      </c>
      <c r="N96" s="8">
        <v>8555</v>
      </c>
      <c r="O96" s="147">
        <v>8664</v>
      </c>
      <c r="P96" s="7"/>
      <c r="Q96" s="7"/>
      <c r="R96" s="98"/>
      <c r="S96" s="31"/>
      <c r="T96" s="4" t="s">
        <v>33</v>
      </c>
      <c r="U96" s="110">
        <v>46245</v>
      </c>
      <c r="V96"/>
    </row>
    <row r="97" spans="1:22">
      <c r="A97" s="17" t="s">
        <v>158</v>
      </c>
      <c r="B97" s="7" t="s">
        <v>23</v>
      </c>
      <c r="C97" s="7">
        <v>5</v>
      </c>
      <c r="D97" s="7" t="s">
        <v>47</v>
      </c>
      <c r="E97" s="7">
        <v>2021</v>
      </c>
      <c r="F97" s="5" t="s">
        <v>29</v>
      </c>
      <c r="G97" s="66">
        <v>44362</v>
      </c>
      <c r="H97" s="7" t="s">
        <v>85</v>
      </c>
      <c r="I97" s="98" t="s">
        <v>64</v>
      </c>
      <c r="J97" s="12" t="s">
        <v>122</v>
      </c>
      <c r="K97" s="18">
        <v>8346</v>
      </c>
      <c r="L97" s="8">
        <v>8413</v>
      </c>
      <c r="M97" s="8">
        <v>8474</v>
      </c>
      <c r="N97" s="8">
        <v>8556</v>
      </c>
      <c r="O97" s="147">
        <v>8664</v>
      </c>
      <c r="P97" s="7"/>
      <c r="Q97" s="7"/>
      <c r="R97" s="98"/>
      <c r="S97" s="31"/>
      <c r="T97" s="4" t="s">
        <v>33</v>
      </c>
      <c r="U97" s="110">
        <v>46249</v>
      </c>
      <c r="V97"/>
    </row>
    <row r="98" spans="1:22">
      <c r="A98" s="19" t="s">
        <v>159</v>
      </c>
      <c r="B98" s="7" t="s">
        <v>23</v>
      </c>
      <c r="C98" s="7">
        <v>18</v>
      </c>
      <c r="D98" s="7" t="s">
        <v>32</v>
      </c>
      <c r="E98" s="7">
        <v>2021</v>
      </c>
      <c r="F98" s="5" t="s">
        <v>29</v>
      </c>
      <c r="G98" s="66">
        <v>44622</v>
      </c>
      <c r="H98" s="7" t="s">
        <v>25</v>
      </c>
      <c r="I98" s="98" t="s">
        <v>55</v>
      </c>
      <c r="J98" s="12" t="s">
        <v>122</v>
      </c>
      <c r="K98" s="18">
        <v>8368</v>
      </c>
      <c r="L98" s="8" t="s">
        <v>160</v>
      </c>
      <c r="M98" s="8">
        <v>8506</v>
      </c>
      <c r="N98" s="8">
        <v>8611</v>
      </c>
      <c r="O98" s="7"/>
      <c r="P98" s="7"/>
      <c r="Q98" s="7"/>
      <c r="R98" s="98"/>
      <c r="S98" s="31"/>
      <c r="T98" s="4" t="s">
        <v>33</v>
      </c>
      <c r="U98" s="110">
        <v>46419</v>
      </c>
      <c r="V98"/>
    </row>
    <row r="99" spans="1:22">
      <c r="A99" s="3" t="s">
        <v>161</v>
      </c>
      <c r="B99" s="7" t="s">
        <v>23</v>
      </c>
      <c r="C99" s="20">
        <v>3</v>
      </c>
      <c r="D99" s="7" t="s">
        <v>32</v>
      </c>
      <c r="E99" s="7">
        <v>2021</v>
      </c>
      <c r="F99" s="5" t="s">
        <v>29</v>
      </c>
      <c r="G99" s="66">
        <v>44579</v>
      </c>
      <c r="H99" s="7" t="s">
        <v>85</v>
      </c>
      <c r="I99" s="98" t="s">
        <v>162</v>
      </c>
      <c r="J99" s="12" t="s">
        <v>122</v>
      </c>
      <c r="K99" s="18">
        <v>8400</v>
      </c>
      <c r="L99" s="8" t="s">
        <v>163</v>
      </c>
      <c r="M99" s="8">
        <v>8507</v>
      </c>
      <c r="N99" s="8">
        <v>8523</v>
      </c>
      <c r="O99" s="8">
        <v>8612</v>
      </c>
      <c r="P99" s="20"/>
      <c r="Q99" s="20"/>
      <c r="R99" s="131"/>
      <c r="S99" s="13"/>
      <c r="T99" s="4" t="s">
        <v>33</v>
      </c>
      <c r="U99" s="110">
        <v>46419</v>
      </c>
      <c r="V99"/>
    </row>
    <row r="100" spans="1:22">
      <c r="A100" s="3" t="s">
        <v>164</v>
      </c>
      <c r="B100" s="7" t="s">
        <v>23</v>
      </c>
      <c r="C100" s="7">
        <v>4</v>
      </c>
      <c r="D100" s="7" t="s">
        <v>74</v>
      </c>
      <c r="E100" s="7">
        <v>2021</v>
      </c>
      <c r="F100" s="5" t="s">
        <v>29</v>
      </c>
      <c r="G100" s="66">
        <v>44203</v>
      </c>
      <c r="H100" s="7" t="s">
        <v>85</v>
      </c>
      <c r="I100" s="98" t="s">
        <v>86</v>
      </c>
      <c r="J100" s="12" t="s">
        <v>165</v>
      </c>
      <c r="K100" s="18">
        <v>8331</v>
      </c>
      <c r="L100" s="8">
        <v>8406</v>
      </c>
      <c r="M100" s="8">
        <v>8451</v>
      </c>
      <c r="N100" s="8">
        <v>8523</v>
      </c>
      <c r="O100" s="151">
        <v>8671</v>
      </c>
      <c r="P100" s="7"/>
      <c r="Q100" s="7"/>
      <c r="R100" s="98"/>
      <c r="S100" s="31"/>
      <c r="T100" s="4" t="s">
        <v>33</v>
      </c>
      <c r="U100" s="110">
        <v>46447</v>
      </c>
      <c r="V100"/>
    </row>
    <row r="101" spans="1:22">
      <c r="A101" s="17" t="s">
        <v>166</v>
      </c>
      <c r="B101" s="7" t="s">
        <v>23</v>
      </c>
      <c r="C101" s="7">
        <v>4</v>
      </c>
      <c r="D101" s="7" t="s">
        <v>93</v>
      </c>
      <c r="E101" s="7">
        <v>2021</v>
      </c>
      <c r="F101" s="5" t="s">
        <v>29</v>
      </c>
      <c r="G101" s="66">
        <v>44410</v>
      </c>
      <c r="H101" s="7" t="s">
        <v>85</v>
      </c>
      <c r="I101" s="98" t="s">
        <v>86</v>
      </c>
      <c r="J101" s="12" t="s">
        <v>165</v>
      </c>
      <c r="K101" s="18">
        <v>8351</v>
      </c>
      <c r="L101" s="8">
        <v>8421</v>
      </c>
      <c r="M101" s="8">
        <v>8489</v>
      </c>
      <c r="N101" s="8">
        <v>8582</v>
      </c>
      <c r="O101" s="157">
        <v>8665</v>
      </c>
      <c r="P101" s="7"/>
      <c r="Q101" s="7"/>
      <c r="R101" s="98"/>
      <c r="S101" s="31"/>
      <c r="T101" s="4" t="s">
        <v>33</v>
      </c>
      <c r="U101" s="110">
        <v>46297</v>
      </c>
      <c r="V101"/>
    </row>
    <row r="102" spans="1:22">
      <c r="A102" s="17" t="s">
        <v>167</v>
      </c>
      <c r="B102" s="7" t="s">
        <v>23</v>
      </c>
      <c r="C102" s="7">
        <v>6</v>
      </c>
      <c r="D102" s="7" t="s">
        <v>50</v>
      </c>
      <c r="E102" s="7">
        <v>2021</v>
      </c>
      <c r="F102" s="5" t="s">
        <v>29</v>
      </c>
      <c r="G102" s="66">
        <v>44322</v>
      </c>
      <c r="H102" s="7" t="s">
        <v>25</v>
      </c>
      <c r="I102" s="98" t="s">
        <v>55</v>
      </c>
      <c r="J102" s="12" t="s">
        <v>165</v>
      </c>
      <c r="K102" s="18">
        <v>8334</v>
      </c>
      <c r="L102" s="8" t="s">
        <v>168</v>
      </c>
      <c r="M102" s="8">
        <v>8475</v>
      </c>
      <c r="N102" s="8">
        <v>8567</v>
      </c>
      <c r="O102" s="69">
        <v>8664</v>
      </c>
      <c r="P102" s="7"/>
      <c r="Q102" s="7"/>
      <c r="R102" s="98"/>
      <c r="S102" s="31"/>
      <c r="T102" s="4" t="s">
        <v>33</v>
      </c>
      <c r="U102" s="110">
        <v>46209</v>
      </c>
      <c r="V102"/>
    </row>
    <row r="103" spans="1:22">
      <c r="A103" s="17" t="s">
        <v>169</v>
      </c>
      <c r="B103" s="7" t="s">
        <v>23</v>
      </c>
      <c r="C103" s="7">
        <v>4</v>
      </c>
      <c r="D103" s="7" t="s">
        <v>37</v>
      </c>
      <c r="E103" s="7">
        <v>2021</v>
      </c>
      <c r="F103" s="5" t="s">
        <v>29</v>
      </c>
      <c r="G103" s="66">
        <v>44525</v>
      </c>
      <c r="H103" s="7" t="s">
        <v>25</v>
      </c>
      <c r="I103" s="98" t="s">
        <v>55</v>
      </c>
      <c r="J103" s="12" t="s">
        <v>165</v>
      </c>
      <c r="K103" s="18">
        <v>8365</v>
      </c>
      <c r="L103" s="8" t="s">
        <v>170</v>
      </c>
      <c r="M103" s="8">
        <v>8508</v>
      </c>
      <c r="N103" s="8">
        <v>8613</v>
      </c>
      <c r="O103" s="69">
        <v>8668</v>
      </c>
      <c r="P103" s="5"/>
      <c r="Q103" s="7"/>
      <c r="R103" s="98"/>
      <c r="S103" s="31"/>
      <c r="T103" s="4" t="s">
        <v>33</v>
      </c>
      <c r="U103" s="110">
        <v>46388</v>
      </c>
      <c r="V103"/>
    </row>
    <row r="104" spans="1:22">
      <c r="A104" s="17" t="s">
        <v>171</v>
      </c>
      <c r="B104" s="7" t="s">
        <v>23</v>
      </c>
      <c r="C104" s="7">
        <v>7</v>
      </c>
      <c r="D104" s="7" t="s">
        <v>74</v>
      </c>
      <c r="E104" s="7">
        <v>2021</v>
      </c>
      <c r="F104" s="5" t="s">
        <v>29</v>
      </c>
      <c r="G104" s="66">
        <v>44203</v>
      </c>
      <c r="H104" s="7" t="s">
        <v>85</v>
      </c>
      <c r="I104" s="98" t="s">
        <v>86</v>
      </c>
      <c r="J104" s="12" t="s">
        <v>165</v>
      </c>
      <c r="K104" s="18">
        <v>8330</v>
      </c>
      <c r="L104" s="8">
        <v>8407</v>
      </c>
      <c r="M104" s="8">
        <v>8452</v>
      </c>
      <c r="N104" s="8">
        <v>8525</v>
      </c>
      <c r="O104" s="5">
        <v>8636</v>
      </c>
      <c r="P104" s="151">
        <v>8671</v>
      </c>
      <c r="Q104" s="7"/>
      <c r="R104" s="98"/>
      <c r="S104" s="31"/>
      <c r="T104" s="4" t="s">
        <v>33</v>
      </c>
      <c r="U104" s="110">
        <v>46447</v>
      </c>
      <c r="V104"/>
    </row>
    <row r="105" spans="1:22">
      <c r="A105" s="17" t="s">
        <v>172</v>
      </c>
      <c r="B105" s="7" t="s">
        <v>23</v>
      </c>
      <c r="C105" s="7">
        <v>3</v>
      </c>
      <c r="D105" s="7" t="s">
        <v>74</v>
      </c>
      <c r="E105" s="7">
        <v>2021</v>
      </c>
      <c r="F105" s="5" t="s">
        <v>29</v>
      </c>
      <c r="G105" s="66">
        <v>44210</v>
      </c>
      <c r="H105" s="7" t="s">
        <v>85</v>
      </c>
      <c r="I105" s="98" t="s">
        <v>55</v>
      </c>
      <c r="J105" s="12" t="s">
        <v>165</v>
      </c>
      <c r="K105" s="18">
        <v>8332</v>
      </c>
      <c r="L105" s="8">
        <v>8408</v>
      </c>
      <c r="M105" s="8">
        <v>8453</v>
      </c>
      <c r="N105" s="8">
        <v>8524</v>
      </c>
      <c r="O105" s="5">
        <v>8637</v>
      </c>
      <c r="P105" s="151">
        <v>8671</v>
      </c>
      <c r="Q105" s="7"/>
      <c r="R105" s="98"/>
      <c r="S105" s="31"/>
      <c r="T105" s="4" t="s">
        <v>33</v>
      </c>
      <c r="U105" s="110">
        <v>46447</v>
      </c>
      <c r="V105"/>
    </row>
    <row r="106" spans="1:22">
      <c r="A106" s="17" t="s">
        <v>173</v>
      </c>
      <c r="B106" s="7" t="s">
        <v>23</v>
      </c>
      <c r="C106" s="7">
        <v>10</v>
      </c>
      <c r="D106" s="7" t="s">
        <v>37</v>
      </c>
      <c r="E106" s="7">
        <v>2021</v>
      </c>
      <c r="F106" s="5" t="s">
        <v>29</v>
      </c>
      <c r="G106" s="66">
        <v>44525</v>
      </c>
      <c r="H106" s="7" t="s">
        <v>25</v>
      </c>
      <c r="I106" s="98" t="s">
        <v>55</v>
      </c>
      <c r="J106" s="12" t="s">
        <v>165</v>
      </c>
      <c r="K106" s="18">
        <v>8367</v>
      </c>
      <c r="L106" s="8" t="s">
        <v>174</v>
      </c>
      <c r="M106" s="8">
        <v>8509</v>
      </c>
      <c r="N106" s="8">
        <v>8614</v>
      </c>
      <c r="O106" s="69">
        <v>8668</v>
      </c>
      <c r="P106" s="7"/>
      <c r="Q106" s="7"/>
      <c r="R106" s="98"/>
      <c r="S106" s="31"/>
      <c r="T106" s="4" t="s">
        <v>33</v>
      </c>
      <c r="U106" s="110">
        <v>46388</v>
      </c>
      <c r="V106"/>
    </row>
    <row r="107" spans="1:22">
      <c r="A107" s="17" t="s">
        <v>175</v>
      </c>
      <c r="B107" s="7" t="s">
        <v>23</v>
      </c>
      <c r="C107" s="7">
        <v>10</v>
      </c>
      <c r="D107" s="7" t="s">
        <v>32</v>
      </c>
      <c r="E107" s="7">
        <v>2021</v>
      </c>
      <c r="F107" s="5" t="s">
        <v>29</v>
      </c>
      <c r="G107" s="66">
        <v>44525</v>
      </c>
      <c r="H107" s="7" t="s">
        <v>25</v>
      </c>
      <c r="I107" s="98" t="s">
        <v>55</v>
      </c>
      <c r="J107" s="12" t="s">
        <v>165</v>
      </c>
      <c r="K107" s="18">
        <v>8366</v>
      </c>
      <c r="L107" s="8" t="s">
        <v>176</v>
      </c>
      <c r="M107" s="8">
        <v>8510</v>
      </c>
      <c r="N107" s="8">
        <v>8615</v>
      </c>
      <c r="O107" s="8"/>
      <c r="P107" s="7"/>
      <c r="Q107" s="7"/>
      <c r="R107" s="98"/>
      <c r="S107" s="31"/>
      <c r="T107" s="4" t="s">
        <v>33</v>
      </c>
      <c r="U107" s="110">
        <v>46047</v>
      </c>
      <c r="V107"/>
    </row>
    <row r="108" spans="1:22">
      <c r="A108" s="17" t="s">
        <v>177</v>
      </c>
      <c r="B108" s="7" t="s">
        <v>23</v>
      </c>
      <c r="C108" s="7">
        <v>6</v>
      </c>
      <c r="D108" s="7" t="s">
        <v>58</v>
      </c>
      <c r="E108" s="7">
        <v>2021</v>
      </c>
      <c r="F108" s="5" t="s">
        <v>29</v>
      </c>
      <c r="G108" s="66">
        <v>44298</v>
      </c>
      <c r="H108" s="7" t="s">
        <v>25</v>
      </c>
      <c r="I108" s="98" t="s">
        <v>55</v>
      </c>
      <c r="J108" s="12" t="s">
        <v>165</v>
      </c>
      <c r="K108" s="18">
        <v>8333</v>
      </c>
      <c r="L108" s="18">
        <v>8414</v>
      </c>
      <c r="M108" s="8">
        <v>8476</v>
      </c>
      <c r="N108" s="8">
        <v>8550</v>
      </c>
      <c r="O108" s="69">
        <v>8664</v>
      </c>
      <c r="P108" s="7"/>
      <c r="Q108" s="7"/>
      <c r="R108" s="98"/>
      <c r="S108" s="31"/>
      <c r="T108" s="4" t="s">
        <v>33</v>
      </c>
      <c r="U108" s="110">
        <v>46185</v>
      </c>
      <c r="V108"/>
    </row>
    <row r="109" spans="1:22">
      <c r="A109" s="17" t="s">
        <v>178</v>
      </c>
      <c r="B109" s="7" t="s">
        <v>23</v>
      </c>
      <c r="C109" s="7">
        <v>12</v>
      </c>
      <c r="D109" s="7" t="s">
        <v>24</v>
      </c>
      <c r="E109" s="7">
        <v>2020</v>
      </c>
      <c r="F109" s="5" t="s">
        <v>29</v>
      </c>
      <c r="G109" s="66">
        <v>43835</v>
      </c>
      <c r="H109" s="7" t="s">
        <v>25</v>
      </c>
      <c r="I109" s="98" t="s">
        <v>55</v>
      </c>
      <c r="J109" s="12" t="s">
        <v>165</v>
      </c>
      <c r="K109" s="18">
        <v>8270</v>
      </c>
      <c r="L109" s="18">
        <v>8344</v>
      </c>
      <c r="M109" s="8">
        <v>8527</v>
      </c>
      <c r="N109" s="8" t="s">
        <v>179</v>
      </c>
      <c r="O109" s="8">
        <v>8586</v>
      </c>
      <c r="P109" s="5">
        <v>8638</v>
      </c>
      <c r="Q109" s="151">
        <v>8672</v>
      </c>
      <c r="R109" s="98"/>
      <c r="S109" s="31"/>
      <c r="T109" s="4" t="s">
        <v>33</v>
      </c>
      <c r="U109" s="110">
        <v>46117</v>
      </c>
      <c r="V109"/>
    </row>
    <row r="110" spans="1:22">
      <c r="A110" s="17" t="s">
        <v>180</v>
      </c>
      <c r="B110" s="7" t="s">
        <v>23</v>
      </c>
      <c r="C110" s="7">
        <v>22</v>
      </c>
      <c r="D110" s="7" t="s">
        <v>44</v>
      </c>
      <c r="E110" s="7">
        <v>2020</v>
      </c>
      <c r="F110" s="5" t="s">
        <v>29</v>
      </c>
      <c r="G110" s="66">
        <v>44074</v>
      </c>
      <c r="H110" s="7" t="s">
        <v>25</v>
      </c>
      <c r="I110" s="98" t="s">
        <v>55</v>
      </c>
      <c r="J110" s="12" t="s">
        <v>165</v>
      </c>
      <c r="K110" s="18">
        <v>8301</v>
      </c>
      <c r="L110" s="18">
        <v>8373</v>
      </c>
      <c r="M110" s="8">
        <v>8431</v>
      </c>
      <c r="N110" s="8">
        <v>8494</v>
      </c>
      <c r="O110" s="8">
        <v>8589</v>
      </c>
      <c r="P110" s="147">
        <v>8666</v>
      </c>
      <c r="Q110" s="7"/>
      <c r="R110" s="98"/>
      <c r="S110" s="31"/>
      <c r="T110" s="4" t="s">
        <v>33</v>
      </c>
      <c r="U110" s="110">
        <v>46327</v>
      </c>
      <c r="V110"/>
    </row>
    <row r="111" spans="1:22">
      <c r="A111" s="17" t="s">
        <v>181</v>
      </c>
      <c r="B111" s="7" t="s">
        <v>23</v>
      </c>
      <c r="C111" s="7">
        <v>8</v>
      </c>
      <c r="D111" s="7" t="s">
        <v>24</v>
      </c>
      <c r="E111" s="7">
        <v>2020</v>
      </c>
      <c r="F111" s="5" t="s">
        <v>29</v>
      </c>
      <c r="G111" s="66">
        <v>43862</v>
      </c>
      <c r="H111" s="7" t="s">
        <v>182</v>
      </c>
      <c r="I111" s="98" t="s">
        <v>55</v>
      </c>
      <c r="J111" s="12" t="s">
        <v>165</v>
      </c>
      <c r="K111" s="18">
        <v>8269</v>
      </c>
      <c r="L111" s="18">
        <v>8343</v>
      </c>
      <c r="M111" s="8" t="s">
        <v>183</v>
      </c>
      <c r="N111" s="8" t="s">
        <v>184</v>
      </c>
      <c r="O111" s="8">
        <v>8526</v>
      </c>
      <c r="P111" s="5">
        <v>8639</v>
      </c>
      <c r="Q111" s="151">
        <v>8672</v>
      </c>
      <c r="R111" s="98"/>
      <c r="S111" s="31"/>
      <c r="T111" s="4" t="s">
        <v>33</v>
      </c>
      <c r="U111" s="110">
        <v>46113</v>
      </c>
      <c r="V111"/>
    </row>
    <row r="112" spans="1:22">
      <c r="A112" s="17" t="s">
        <v>185</v>
      </c>
      <c r="B112" s="7" t="s">
        <v>23</v>
      </c>
      <c r="C112" s="7">
        <v>7</v>
      </c>
      <c r="D112" s="7" t="s">
        <v>37</v>
      </c>
      <c r="E112" s="7">
        <v>2020</v>
      </c>
      <c r="F112" s="5" t="s">
        <v>29</v>
      </c>
      <c r="G112" s="66">
        <v>44144</v>
      </c>
      <c r="H112" s="7" t="s">
        <v>85</v>
      </c>
      <c r="I112" s="98" t="s">
        <v>86</v>
      </c>
      <c r="J112" s="12" t="s">
        <v>165</v>
      </c>
      <c r="K112" s="18">
        <v>8319</v>
      </c>
      <c r="L112" s="18">
        <v>8372</v>
      </c>
      <c r="M112" s="8" t="s">
        <v>186</v>
      </c>
      <c r="N112" s="8">
        <v>8511</v>
      </c>
      <c r="O112" s="8">
        <v>8616</v>
      </c>
      <c r="P112" s="69">
        <v>8668</v>
      </c>
      <c r="Q112" s="7"/>
      <c r="R112" s="98"/>
      <c r="S112" s="31"/>
      <c r="T112" s="4" t="s">
        <v>33</v>
      </c>
      <c r="U112" s="110">
        <v>46388</v>
      </c>
      <c r="V112"/>
    </row>
    <row r="113" spans="1:22">
      <c r="A113" s="17" t="s">
        <v>187</v>
      </c>
      <c r="B113" s="7" t="s">
        <v>23</v>
      </c>
      <c r="C113" s="7">
        <v>3</v>
      </c>
      <c r="D113" s="7" t="s">
        <v>66</v>
      </c>
      <c r="E113" s="7">
        <v>2020</v>
      </c>
      <c r="F113" s="5" t="s">
        <v>29</v>
      </c>
      <c r="G113" s="66">
        <v>43896</v>
      </c>
      <c r="H113" s="7" t="s">
        <v>85</v>
      </c>
      <c r="I113" s="98" t="s">
        <v>86</v>
      </c>
      <c r="J113" s="12" t="s">
        <v>165</v>
      </c>
      <c r="K113" s="18">
        <v>8278</v>
      </c>
      <c r="L113" s="18">
        <v>8336</v>
      </c>
      <c r="M113" s="8">
        <v>8405</v>
      </c>
      <c r="N113" s="8">
        <v>8469</v>
      </c>
      <c r="O113" s="8">
        <v>8551</v>
      </c>
      <c r="P113" s="69">
        <v>8664</v>
      </c>
      <c r="Q113" s="7"/>
      <c r="R113" s="98"/>
      <c r="S113" s="31"/>
      <c r="T113" s="4" t="s">
        <v>33</v>
      </c>
      <c r="U113" s="110">
        <v>46148</v>
      </c>
      <c r="V113"/>
    </row>
    <row r="114" spans="1:22">
      <c r="A114" s="17" t="s">
        <v>188</v>
      </c>
      <c r="B114" s="7" t="s">
        <v>23</v>
      </c>
      <c r="C114" s="7">
        <v>5</v>
      </c>
      <c r="D114" s="7" t="s">
        <v>37</v>
      </c>
      <c r="E114" s="7">
        <v>2020</v>
      </c>
      <c r="F114" s="5" t="s">
        <v>29</v>
      </c>
      <c r="G114" s="66">
        <v>44144</v>
      </c>
      <c r="H114" s="7" t="s">
        <v>85</v>
      </c>
      <c r="I114" s="98" t="s">
        <v>86</v>
      </c>
      <c r="J114" s="12" t="s">
        <v>165</v>
      </c>
      <c r="K114" s="18">
        <v>8318</v>
      </c>
      <c r="L114" s="18">
        <v>8371</v>
      </c>
      <c r="M114" s="8" t="s">
        <v>189</v>
      </c>
      <c r="N114" s="8">
        <v>8512</v>
      </c>
      <c r="O114" s="8">
        <v>8617</v>
      </c>
      <c r="P114" s="69">
        <v>8668</v>
      </c>
      <c r="Q114" s="7"/>
      <c r="R114" s="98"/>
      <c r="S114" s="31"/>
      <c r="T114" s="4" t="s">
        <v>33</v>
      </c>
      <c r="U114" s="110">
        <v>46388</v>
      </c>
      <c r="V114"/>
    </row>
    <row r="115" spans="1:22" s="170" customFormat="1">
      <c r="A115" s="112" t="s">
        <v>190</v>
      </c>
      <c r="B115" s="112" t="s">
        <v>23</v>
      </c>
      <c r="C115" s="112">
        <v>4</v>
      </c>
      <c r="D115" s="112" t="s">
        <v>37</v>
      </c>
      <c r="E115" s="112">
        <v>2020</v>
      </c>
      <c r="F115" s="162" t="s">
        <v>29</v>
      </c>
      <c r="G115" s="163">
        <v>44144</v>
      </c>
      <c r="H115" s="112" t="s">
        <v>85</v>
      </c>
      <c r="I115" s="164" t="s">
        <v>55</v>
      </c>
      <c r="J115" s="165" t="s">
        <v>165</v>
      </c>
      <c r="K115" s="166">
        <v>8320</v>
      </c>
      <c r="L115" s="166">
        <v>8370</v>
      </c>
      <c r="M115" s="162" t="s">
        <v>191</v>
      </c>
      <c r="N115" s="162">
        <v>8513</v>
      </c>
      <c r="O115" s="162">
        <v>8618</v>
      </c>
      <c r="P115" s="112"/>
      <c r="Q115" s="112"/>
      <c r="R115" s="164"/>
      <c r="S115" s="167"/>
      <c r="T115" s="168" t="s">
        <v>192</v>
      </c>
      <c r="U115" s="169">
        <v>46031</v>
      </c>
    </row>
    <row r="116" spans="1:22">
      <c r="A116" s="17" t="s">
        <v>193</v>
      </c>
      <c r="B116" s="7" t="s">
        <v>23</v>
      </c>
      <c r="C116" s="7">
        <v>8</v>
      </c>
      <c r="D116" s="7" t="s">
        <v>37</v>
      </c>
      <c r="E116" s="7">
        <v>2020</v>
      </c>
      <c r="F116" s="5" t="s">
        <v>29</v>
      </c>
      <c r="G116" s="66">
        <v>44151</v>
      </c>
      <c r="H116" s="7" t="s">
        <v>25</v>
      </c>
      <c r="I116" s="98" t="s">
        <v>55</v>
      </c>
      <c r="J116" s="12" t="s">
        <v>165</v>
      </c>
      <c r="K116" s="18">
        <v>8275</v>
      </c>
      <c r="L116" s="18">
        <v>8374</v>
      </c>
      <c r="M116" s="8" t="s">
        <v>194</v>
      </c>
      <c r="N116" s="8">
        <v>8514</v>
      </c>
      <c r="O116" s="8">
        <v>8619</v>
      </c>
      <c r="P116" s="69">
        <v>8668</v>
      </c>
      <c r="Q116" s="7"/>
      <c r="R116" s="98"/>
      <c r="S116" s="31"/>
      <c r="T116" s="4" t="s">
        <v>33</v>
      </c>
      <c r="U116" s="110">
        <v>46388</v>
      </c>
      <c r="V116"/>
    </row>
    <row r="117" spans="1:22">
      <c r="A117" s="17" t="s">
        <v>195</v>
      </c>
      <c r="B117" s="7" t="s">
        <v>23</v>
      </c>
      <c r="C117" s="7">
        <v>5</v>
      </c>
      <c r="D117" s="7" t="s">
        <v>93</v>
      </c>
      <c r="E117" s="7">
        <v>2023</v>
      </c>
      <c r="F117" s="5" t="s">
        <v>29</v>
      </c>
      <c r="G117" s="66">
        <v>45148</v>
      </c>
      <c r="H117" s="7" t="s">
        <v>85</v>
      </c>
      <c r="I117" s="98" t="s">
        <v>86</v>
      </c>
      <c r="J117" s="12" t="s">
        <v>165</v>
      </c>
      <c r="K117" s="18">
        <v>8231</v>
      </c>
      <c r="L117" s="18">
        <v>8323</v>
      </c>
      <c r="M117" s="8">
        <v>8342</v>
      </c>
      <c r="N117" s="8">
        <v>8402</v>
      </c>
      <c r="O117" s="8">
        <v>8470</v>
      </c>
      <c r="P117" s="8">
        <v>8490</v>
      </c>
      <c r="Q117" s="8">
        <v>8583</v>
      </c>
      <c r="R117" s="158">
        <v>8665</v>
      </c>
      <c r="S117" s="31"/>
      <c r="T117" s="4" t="s">
        <v>33</v>
      </c>
      <c r="U117" s="110">
        <v>46305</v>
      </c>
      <c r="V117" t="s">
        <v>196</v>
      </c>
    </row>
    <row r="118" spans="1:22">
      <c r="A118" s="19" t="s">
        <v>197</v>
      </c>
      <c r="B118" s="7" t="s">
        <v>23</v>
      </c>
      <c r="C118" s="7">
        <v>11</v>
      </c>
      <c r="D118" s="7" t="s">
        <v>32</v>
      </c>
      <c r="E118" s="7">
        <v>2019</v>
      </c>
      <c r="F118" s="5" t="s">
        <v>29</v>
      </c>
      <c r="G118" s="66">
        <v>43791</v>
      </c>
      <c r="H118" s="7" t="s">
        <v>85</v>
      </c>
      <c r="I118" s="98" t="s">
        <v>55</v>
      </c>
      <c r="J118" s="12" t="s">
        <v>165</v>
      </c>
      <c r="K118" s="21">
        <v>8261</v>
      </c>
      <c r="L118" s="18">
        <v>8322</v>
      </c>
      <c r="M118" s="8">
        <v>8376</v>
      </c>
      <c r="N118" s="8">
        <v>8443</v>
      </c>
      <c r="O118" s="8">
        <v>8515</v>
      </c>
      <c r="P118" s="8">
        <v>8620</v>
      </c>
      <c r="Q118" s="7"/>
      <c r="R118" s="98"/>
      <c r="S118" s="31"/>
      <c r="T118" s="4" t="s">
        <v>33</v>
      </c>
      <c r="U118" s="110">
        <v>46388</v>
      </c>
      <c r="V118"/>
    </row>
    <row r="119" spans="1:22">
      <c r="A119" s="73" t="s">
        <v>198</v>
      </c>
      <c r="B119" s="7" t="s">
        <v>23</v>
      </c>
      <c r="C119" s="7">
        <v>4</v>
      </c>
      <c r="D119" s="7" t="s">
        <v>32</v>
      </c>
      <c r="E119" s="7">
        <v>2019</v>
      </c>
      <c r="F119" s="5" t="s">
        <v>29</v>
      </c>
      <c r="G119" s="66">
        <v>43819</v>
      </c>
      <c r="H119" s="7" t="s">
        <v>199</v>
      </c>
      <c r="I119" s="98" t="s">
        <v>55</v>
      </c>
      <c r="J119" s="12" t="s">
        <v>165</v>
      </c>
      <c r="K119" s="21">
        <v>8262</v>
      </c>
      <c r="L119" s="18">
        <v>8321</v>
      </c>
      <c r="M119" s="8">
        <v>8375</v>
      </c>
      <c r="N119" s="8">
        <v>8444</v>
      </c>
      <c r="O119" s="8">
        <v>8516</v>
      </c>
      <c r="P119" s="8">
        <v>8621</v>
      </c>
      <c r="Q119" s="7"/>
      <c r="R119" s="98"/>
      <c r="S119" s="31"/>
      <c r="T119" s="4" t="s">
        <v>33</v>
      </c>
      <c r="U119" s="110">
        <v>46419</v>
      </c>
      <c r="V119"/>
    </row>
    <row r="120" spans="1:22">
      <c r="A120" s="73" t="s">
        <v>200</v>
      </c>
      <c r="B120" s="31" t="s">
        <v>201</v>
      </c>
      <c r="C120" s="31">
        <v>3</v>
      </c>
      <c r="D120" s="31" t="s">
        <v>32</v>
      </c>
      <c r="E120" s="31">
        <v>2018</v>
      </c>
      <c r="F120" s="5" t="s">
        <v>29</v>
      </c>
      <c r="G120" s="66">
        <v>43435</v>
      </c>
      <c r="H120" s="7" t="s">
        <v>85</v>
      </c>
      <c r="I120" s="22" t="s">
        <v>55</v>
      </c>
      <c r="J120" s="12" t="s">
        <v>122</v>
      </c>
      <c r="K120" s="8">
        <v>8222</v>
      </c>
      <c r="L120" s="8">
        <v>8265</v>
      </c>
      <c r="M120" s="8">
        <v>8326</v>
      </c>
      <c r="N120" s="8">
        <v>8379</v>
      </c>
      <c r="O120" s="126">
        <v>8446</v>
      </c>
      <c r="P120" s="5">
        <v>8642</v>
      </c>
      <c r="Q120" s="5">
        <v>8643</v>
      </c>
      <c r="R120" s="128"/>
      <c r="S120" s="5"/>
      <c r="T120" s="134" t="s">
        <v>33</v>
      </c>
      <c r="U120" s="110">
        <v>46388</v>
      </c>
      <c r="V120"/>
    </row>
    <row r="121" spans="1:22">
      <c r="A121" s="17" t="s">
        <v>202</v>
      </c>
      <c r="B121" s="7" t="s">
        <v>23</v>
      </c>
      <c r="C121" s="7">
        <v>4</v>
      </c>
      <c r="D121" s="5" t="s">
        <v>58</v>
      </c>
      <c r="E121" s="7">
        <v>2018</v>
      </c>
      <c r="F121" s="5" t="s">
        <v>29</v>
      </c>
      <c r="G121" s="66">
        <v>43213</v>
      </c>
      <c r="H121" s="7" t="s">
        <v>85</v>
      </c>
      <c r="I121" s="22" t="s">
        <v>203</v>
      </c>
      <c r="J121" s="31" t="s">
        <v>165</v>
      </c>
      <c r="K121" s="100">
        <v>8156</v>
      </c>
      <c r="L121" s="8">
        <v>8236</v>
      </c>
      <c r="M121" s="8">
        <v>8273</v>
      </c>
      <c r="N121" s="8">
        <v>8340</v>
      </c>
      <c r="O121" s="8">
        <v>8415</v>
      </c>
      <c r="P121" s="8">
        <v>8477</v>
      </c>
      <c r="Q121" s="8">
        <v>8552</v>
      </c>
      <c r="R121" s="69">
        <v>8664</v>
      </c>
      <c r="S121" s="5"/>
      <c r="T121" s="4" t="s">
        <v>33</v>
      </c>
      <c r="U121" s="110">
        <v>46196</v>
      </c>
      <c r="V121"/>
    </row>
    <row r="122" spans="1:22">
      <c r="A122" s="17" t="s">
        <v>204</v>
      </c>
      <c r="B122" s="7" t="s">
        <v>23</v>
      </c>
      <c r="C122" s="7">
        <v>4</v>
      </c>
      <c r="D122" s="7" t="s">
        <v>50</v>
      </c>
      <c r="E122" s="7">
        <v>2018</v>
      </c>
      <c r="F122" s="5" t="s">
        <v>29</v>
      </c>
      <c r="G122" s="66">
        <v>43216</v>
      </c>
      <c r="H122" s="7" t="s">
        <v>85</v>
      </c>
      <c r="I122" s="22" t="s">
        <v>86</v>
      </c>
      <c r="J122" s="31" t="s">
        <v>165</v>
      </c>
      <c r="K122" s="100">
        <v>8158</v>
      </c>
      <c r="L122" s="8">
        <v>8239</v>
      </c>
      <c r="M122" s="8">
        <v>8274</v>
      </c>
      <c r="N122" s="8">
        <v>8357</v>
      </c>
      <c r="O122" s="8">
        <v>8416</v>
      </c>
      <c r="P122" s="8">
        <v>8478</v>
      </c>
      <c r="Q122" s="23">
        <v>8559</v>
      </c>
      <c r="R122" s="69">
        <v>8664</v>
      </c>
      <c r="S122" s="5"/>
      <c r="T122" s="4" t="s">
        <v>33</v>
      </c>
      <c r="U122" s="110" t="s">
        <v>205</v>
      </c>
      <c r="V122"/>
    </row>
    <row r="123" spans="1:22">
      <c r="A123" s="19" t="s">
        <v>206</v>
      </c>
      <c r="B123" s="7" t="s">
        <v>23</v>
      </c>
      <c r="C123" s="7">
        <v>4</v>
      </c>
      <c r="D123" s="7" t="s">
        <v>37</v>
      </c>
      <c r="E123" s="7">
        <v>2018</v>
      </c>
      <c r="F123" s="5" t="s">
        <v>29</v>
      </c>
      <c r="G123" s="66">
        <v>43422</v>
      </c>
      <c r="H123" s="7" t="s">
        <v>85</v>
      </c>
      <c r="I123" s="22" t="s">
        <v>86</v>
      </c>
      <c r="J123" s="31" t="s">
        <v>165</v>
      </c>
      <c r="K123" s="100">
        <v>8220</v>
      </c>
      <c r="L123" s="8">
        <v>8266</v>
      </c>
      <c r="M123" s="8">
        <v>8327</v>
      </c>
      <c r="N123" s="8">
        <v>8380</v>
      </c>
      <c r="O123" s="8">
        <v>8447</v>
      </c>
      <c r="P123" s="8">
        <v>8517</v>
      </c>
      <c r="Q123" s="8">
        <v>8517</v>
      </c>
      <c r="R123" s="132">
        <v>8622</v>
      </c>
      <c r="S123" s="69">
        <v>8668</v>
      </c>
      <c r="T123" s="4" t="s">
        <v>33</v>
      </c>
      <c r="U123" s="110">
        <v>45658</v>
      </c>
      <c r="V123"/>
    </row>
    <row r="124" spans="1:22">
      <c r="A124" s="73" t="s">
        <v>207</v>
      </c>
      <c r="B124" s="7" t="s">
        <v>23</v>
      </c>
      <c r="C124" s="7">
        <v>20</v>
      </c>
      <c r="D124" s="5" t="s">
        <v>24</v>
      </c>
      <c r="E124" s="7">
        <v>2018</v>
      </c>
      <c r="F124" s="5" t="s">
        <v>29</v>
      </c>
      <c r="G124" s="66">
        <v>43153</v>
      </c>
      <c r="H124" s="7" t="s">
        <v>25</v>
      </c>
      <c r="I124" s="22" t="s">
        <v>55</v>
      </c>
      <c r="J124" s="31" t="s">
        <v>165</v>
      </c>
      <c r="K124" s="102">
        <v>8142</v>
      </c>
      <c r="L124" s="8">
        <v>8230</v>
      </c>
      <c r="M124" s="8">
        <v>8271</v>
      </c>
      <c r="N124" s="8">
        <v>8353</v>
      </c>
      <c r="O124" s="8">
        <v>8403</v>
      </c>
      <c r="P124" s="8" t="s">
        <v>208</v>
      </c>
      <c r="Q124" s="8">
        <v>8528</v>
      </c>
      <c r="R124" s="128">
        <v>8640</v>
      </c>
      <c r="S124" s="151">
        <v>8672</v>
      </c>
      <c r="T124" s="4" t="s">
        <v>33</v>
      </c>
      <c r="U124" s="110">
        <v>46134</v>
      </c>
      <c r="V124"/>
    </row>
    <row r="125" spans="1:22">
      <c r="A125" s="73" t="s">
        <v>209</v>
      </c>
      <c r="B125" s="7" t="s">
        <v>23</v>
      </c>
      <c r="C125" s="7">
        <v>16</v>
      </c>
      <c r="D125" s="7" t="s">
        <v>93</v>
      </c>
      <c r="E125" s="7">
        <v>2017</v>
      </c>
      <c r="F125" s="5" t="s">
        <v>29</v>
      </c>
      <c r="G125" s="66">
        <v>42969</v>
      </c>
      <c r="H125" s="7" t="s">
        <v>25</v>
      </c>
      <c r="I125" s="22" t="s">
        <v>55</v>
      </c>
      <c r="J125" s="31" t="s">
        <v>165</v>
      </c>
      <c r="K125" s="100">
        <v>8110</v>
      </c>
      <c r="L125" s="8">
        <v>8182</v>
      </c>
      <c r="M125" s="8">
        <v>8251</v>
      </c>
      <c r="N125" s="8">
        <v>8303</v>
      </c>
      <c r="O125" s="8">
        <v>8355</v>
      </c>
      <c r="P125" s="8">
        <v>8424</v>
      </c>
      <c r="Q125" s="8">
        <v>8491</v>
      </c>
      <c r="R125" s="132">
        <v>8579</v>
      </c>
      <c r="S125" s="159">
        <v>8665</v>
      </c>
      <c r="T125" s="4" t="s">
        <v>210</v>
      </c>
      <c r="U125" s="110">
        <v>46388</v>
      </c>
      <c r="V125"/>
    </row>
    <row r="126" spans="1:22">
      <c r="A126" s="73" t="s">
        <v>211</v>
      </c>
      <c r="B126" s="7" t="s">
        <v>23</v>
      </c>
      <c r="C126" s="7">
        <v>8</v>
      </c>
      <c r="D126" s="5" t="s">
        <v>24</v>
      </c>
      <c r="E126" s="7">
        <v>2017</v>
      </c>
      <c r="F126" s="5" t="s">
        <v>29</v>
      </c>
      <c r="G126" s="66">
        <v>43089</v>
      </c>
      <c r="H126" s="7" t="s">
        <v>25</v>
      </c>
      <c r="I126" s="22" t="s">
        <v>55</v>
      </c>
      <c r="J126" s="31" t="s">
        <v>165</v>
      </c>
      <c r="K126" s="100">
        <v>8143</v>
      </c>
      <c r="L126" s="8">
        <v>8233</v>
      </c>
      <c r="M126" s="8">
        <v>8272</v>
      </c>
      <c r="N126" s="8">
        <v>8352</v>
      </c>
      <c r="O126" s="8" t="s">
        <v>212</v>
      </c>
      <c r="P126" s="82">
        <v>8529</v>
      </c>
      <c r="Q126" s="8">
        <v>8577</v>
      </c>
      <c r="R126" s="132">
        <v>8587</v>
      </c>
      <c r="S126" s="5">
        <v>8641</v>
      </c>
      <c r="T126" s="4" t="s">
        <v>33</v>
      </c>
      <c r="U126" s="110">
        <v>46388</v>
      </c>
      <c r="V126"/>
    </row>
    <row r="127" spans="1:22">
      <c r="A127" s="17" t="s">
        <v>213</v>
      </c>
      <c r="B127" s="7" t="s">
        <v>23</v>
      </c>
      <c r="C127" s="7">
        <v>6</v>
      </c>
      <c r="D127" s="7" t="s">
        <v>93</v>
      </c>
      <c r="E127" s="7">
        <v>2017</v>
      </c>
      <c r="F127" s="5" t="s">
        <v>29</v>
      </c>
      <c r="G127" s="66">
        <v>42942</v>
      </c>
      <c r="H127" s="7" t="s">
        <v>85</v>
      </c>
      <c r="I127" s="22" t="s">
        <v>86</v>
      </c>
      <c r="J127" s="12" t="s">
        <v>122</v>
      </c>
      <c r="K127" s="100">
        <v>8111</v>
      </c>
      <c r="L127" s="8">
        <v>8183</v>
      </c>
      <c r="M127" s="8">
        <v>8252</v>
      </c>
      <c r="N127" s="8">
        <v>8304</v>
      </c>
      <c r="O127" s="8" t="s">
        <v>214</v>
      </c>
      <c r="P127" s="8">
        <v>8426</v>
      </c>
      <c r="Q127" s="8">
        <v>8492</v>
      </c>
      <c r="R127" s="132">
        <v>8581</v>
      </c>
      <c r="S127" s="159">
        <v>8665</v>
      </c>
      <c r="T127" s="4" t="s">
        <v>33</v>
      </c>
      <c r="U127" s="110">
        <v>46291</v>
      </c>
      <c r="V127"/>
    </row>
    <row r="128" spans="1:22" s="170" customFormat="1">
      <c r="A128" s="112" t="s">
        <v>215</v>
      </c>
      <c r="B128" s="112" t="s">
        <v>23</v>
      </c>
      <c r="C128" s="112">
        <v>6</v>
      </c>
      <c r="D128" s="112" t="s">
        <v>47</v>
      </c>
      <c r="E128" s="112">
        <v>2017</v>
      </c>
      <c r="F128" s="162" t="s">
        <v>29</v>
      </c>
      <c r="G128" s="163">
        <v>42887</v>
      </c>
      <c r="H128" s="112" t="s">
        <v>199</v>
      </c>
      <c r="I128" s="174" t="s">
        <v>55</v>
      </c>
      <c r="J128" s="167" t="s">
        <v>165</v>
      </c>
      <c r="K128" s="168">
        <v>8094</v>
      </c>
      <c r="L128" s="162">
        <v>8170</v>
      </c>
      <c r="M128" s="162">
        <v>8247</v>
      </c>
      <c r="N128" s="162">
        <v>8276</v>
      </c>
      <c r="O128" s="162">
        <v>8356</v>
      </c>
      <c r="P128" s="162">
        <v>8479</v>
      </c>
      <c r="Q128" s="162">
        <v>8480</v>
      </c>
      <c r="R128" s="165">
        <v>8580</v>
      </c>
      <c r="S128" s="167">
        <v>8683</v>
      </c>
      <c r="T128" s="168" t="s">
        <v>33</v>
      </c>
      <c r="U128" s="169">
        <v>46235</v>
      </c>
    </row>
    <row r="129" spans="1:22">
      <c r="A129" s="135" t="s">
        <v>216</v>
      </c>
      <c r="B129" s="7" t="s">
        <v>201</v>
      </c>
      <c r="C129" s="7">
        <v>8</v>
      </c>
      <c r="D129" s="7" t="s">
        <v>44</v>
      </c>
      <c r="E129" s="7">
        <v>2017</v>
      </c>
      <c r="F129" s="5" t="s">
        <v>29</v>
      </c>
      <c r="G129" s="66">
        <v>43041</v>
      </c>
      <c r="H129" s="7" t="s">
        <v>25</v>
      </c>
      <c r="I129" s="22" t="s">
        <v>86</v>
      </c>
      <c r="J129" s="31" t="s">
        <v>165</v>
      </c>
      <c r="K129" s="100">
        <v>8130</v>
      </c>
      <c r="L129" s="8">
        <v>8194</v>
      </c>
      <c r="M129" s="8">
        <v>8292</v>
      </c>
      <c r="N129" s="8">
        <v>8310</v>
      </c>
      <c r="O129" s="8">
        <v>8398</v>
      </c>
      <c r="P129" s="8">
        <v>8434</v>
      </c>
      <c r="Q129" s="8">
        <v>8495</v>
      </c>
      <c r="R129" s="132">
        <v>8590</v>
      </c>
      <c r="S129" s="31"/>
      <c r="T129" s="4" t="s">
        <v>33</v>
      </c>
      <c r="U129" s="110">
        <v>46447</v>
      </c>
      <c r="V129"/>
    </row>
    <row r="130" spans="1:22">
      <c r="A130" s="136" t="s">
        <v>217</v>
      </c>
      <c r="B130" s="120" t="s">
        <v>201</v>
      </c>
      <c r="C130" s="120">
        <v>4</v>
      </c>
      <c r="D130" s="120" t="s">
        <v>37</v>
      </c>
      <c r="E130" s="120">
        <v>2017</v>
      </c>
      <c r="F130" s="121" t="s">
        <v>29</v>
      </c>
      <c r="G130" s="122">
        <v>43041</v>
      </c>
      <c r="H130" s="120" t="s">
        <v>25</v>
      </c>
      <c r="I130" s="123" t="s">
        <v>86</v>
      </c>
      <c r="J130" s="124" t="s">
        <v>165</v>
      </c>
      <c r="K130" s="125">
        <v>8126</v>
      </c>
      <c r="L130" s="126">
        <v>8197</v>
      </c>
      <c r="M130" s="126">
        <v>8293</v>
      </c>
      <c r="N130" s="126">
        <v>8311</v>
      </c>
      <c r="O130" s="126">
        <v>8397</v>
      </c>
      <c r="P130" s="126">
        <v>8448</v>
      </c>
      <c r="Q130" s="126">
        <v>8518</v>
      </c>
      <c r="R130" s="133">
        <v>8623</v>
      </c>
      <c r="S130" s="31"/>
      <c r="T130" s="134" t="s">
        <v>33</v>
      </c>
      <c r="U130" s="110">
        <v>46447</v>
      </c>
      <c r="V130"/>
    </row>
    <row r="131" spans="1:22">
      <c r="A131" s="73" t="s">
        <v>218</v>
      </c>
      <c r="B131" s="31" t="s">
        <v>201</v>
      </c>
      <c r="C131" s="31">
        <v>3</v>
      </c>
      <c r="D131" s="31" t="s">
        <v>58</v>
      </c>
      <c r="E131" s="31">
        <v>2022</v>
      </c>
      <c r="F131" s="5" t="s">
        <v>29</v>
      </c>
      <c r="G131" s="64">
        <v>44652</v>
      </c>
      <c r="H131" s="31" t="s">
        <v>85</v>
      </c>
      <c r="I131" s="5" t="s">
        <v>55</v>
      </c>
      <c r="J131" s="31" t="s">
        <v>165</v>
      </c>
      <c r="L131" s="7"/>
      <c r="M131" s="7"/>
      <c r="N131" s="72"/>
      <c r="O131" s="8">
        <v>8411</v>
      </c>
      <c r="P131" s="72"/>
      <c r="Q131" s="72"/>
      <c r="R131" s="69">
        <v>8664</v>
      </c>
      <c r="S131" s="92"/>
      <c r="T131" s="72"/>
      <c r="U131" s="110">
        <v>46388</v>
      </c>
      <c r="V131"/>
    </row>
    <row r="132" spans="1:22">
      <c r="A132" s="73" t="s">
        <v>219</v>
      </c>
      <c r="B132" s="31" t="s">
        <v>201</v>
      </c>
      <c r="C132" s="31">
        <v>5</v>
      </c>
      <c r="D132" s="31" t="s">
        <v>24</v>
      </c>
      <c r="E132" s="31">
        <v>2023</v>
      </c>
      <c r="F132" s="5" t="s">
        <v>29</v>
      </c>
      <c r="G132" s="64">
        <v>44978</v>
      </c>
      <c r="H132" s="120" t="s">
        <v>25</v>
      </c>
      <c r="I132" s="72"/>
      <c r="J132" s="12" t="s">
        <v>122</v>
      </c>
      <c r="K132" s="72"/>
      <c r="L132" s="72"/>
      <c r="M132" s="72"/>
      <c r="N132" s="72"/>
      <c r="O132" s="8">
        <v>8395</v>
      </c>
      <c r="P132" s="5">
        <v>8626</v>
      </c>
      <c r="Q132" s="5">
        <v>8627</v>
      </c>
      <c r="R132" s="72"/>
      <c r="S132" s="72"/>
      <c r="T132" s="72"/>
      <c r="U132" s="72"/>
      <c r="V132"/>
    </row>
    <row r="133" spans="1:22">
      <c r="A133" s="73" t="s">
        <v>220</v>
      </c>
      <c r="B133" s="31" t="s">
        <v>201</v>
      </c>
      <c r="C133" s="31">
        <v>3</v>
      </c>
      <c r="D133" s="31" t="s">
        <v>24</v>
      </c>
      <c r="E133" s="31">
        <v>2025</v>
      </c>
      <c r="F133" s="5" t="s">
        <v>29</v>
      </c>
      <c r="G133" s="64">
        <v>45601</v>
      </c>
      <c r="H133" s="31" t="s">
        <v>85</v>
      </c>
      <c r="I133" s="123" t="s">
        <v>86</v>
      </c>
      <c r="J133" s="31" t="s">
        <v>75</v>
      </c>
      <c r="L133" s="72"/>
      <c r="M133" s="72"/>
      <c r="N133" s="72"/>
      <c r="O133" s="72"/>
      <c r="P133" s="5">
        <v>8644</v>
      </c>
      <c r="Q133" s="72"/>
      <c r="R133" s="72"/>
      <c r="S133" s="72"/>
      <c r="T133" s="72"/>
      <c r="U133" s="110">
        <v>46388</v>
      </c>
      <c r="V133"/>
    </row>
    <row r="134" spans="1:22">
      <c r="J134"/>
    </row>
    <row r="135" spans="1:22">
      <c r="J135"/>
    </row>
    <row r="136" spans="1:22">
      <c r="J136"/>
    </row>
    <row r="137" spans="1:22">
      <c r="J137"/>
    </row>
    <row r="138" spans="1:22">
      <c r="J138"/>
    </row>
    <row r="139" spans="1:22">
      <c r="J139"/>
    </row>
    <row r="140" spans="1:22">
      <c r="J140"/>
    </row>
    <row r="141" spans="1:22">
      <c r="J141"/>
    </row>
    <row r="142" spans="1:22">
      <c r="J142"/>
    </row>
    <row r="143" spans="1:22">
      <c r="J143"/>
    </row>
    <row r="144" spans="1:22">
      <c r="J144"/>
    </row>
    <row r="145" spans="10:10">
      <c r="J145"/>
    </row>
    <row r="146" spans="10:10">
      <c r="J146"/>
    </row>
    <row r="147" spans="10:10">
      <c r="J147"/>
    </row>
    <row r="148" spans="10:10">
      <c r="J148"/>
    </row>
    <row r="149" spans="10:10">
      <c r="J149"/>
    </row>
    <row r="150" spans="10:10">
      <c r="J150"/>
    </row>
    <row r="151" spans="10:10">
      <c r="J151"/>
    </row>
    <row r="152" spans="10:10">
      <c r="J152"/>
    </row>
    <row r="153" spans="10:10">
      <c r="J153"/>
    </row>
    <row r="154" spans="10:10">
      <c r="J154"/>
    </row>
    <row r="155" spans="10:10">
      <c r="J155"/>
    </row>
    <row r="156" spans="10:10">
      <c r="J156"/>
    </row>
    <row r="157" spans="10:10">
      <c r="J157"/>
    </row>
    <row r="158" spans="10:10">
      <c r="J158"/>
    </row>
    <row r="159" spans="10:10">
      <c r="J159"/>
    </row>
    <row r="160" spans="10:10">
      <c r="J160"/>
    </row>
    <row r="161" spans="10:10">
      <c r="J161"/>
    </row>
    <row r="162" spans="10:10">
      <c r="J162"/>
    </row>
    <row r="163" spans="10:10">
      <c r="J163"/>
    </row>
    <row r="164" spans="10:10">
      <c r="J164"/>
    </row>
    <row r="165" spans="10:10">
      <c r="J165"/>
    </row>
    <row r="166" spans="10:10">
      <c r="J166"/>
    </row>
    <row r="167" spans="10:10">
      <c r="J167"/>
    </row>
    <row r="168" spans="10:10">
      <c r="J168"/>
    </row>
    <row r="169" spans="10:10">
      <c r="J169"/>
    </row>
    <row r="170" spans="10:10">
      <c r="J170"/>
    </row>
    <row r="171" spans="10:10">
      <c r="J171"/>
    </row>
    <row r="172" spans="10:10">
      <c r="J172"/>
    </row>
    <row r="173" spans="10:10">
      <c r="J173"/>
    </row>
    <row r="174" spans="10:10">
      <c r="J174"/>
    </row>
    <row r="175" spans="10:10">
      <c r="J175"/>
    </row>
    <row r="176" spans="10:10">
      <c r="J176"/>
    </row>
    <row r="177" spans="10:10">
      <c r="J177"/>
    </row>
    <row r="178" spans="10:10">
      <c r="J178"/>
    </row>
    <row r="179" spans="10:10">
      <c r="J179"/>
    </row>
    <row r="180" spans="10:10">
      <c r="J180" s="92"/>
    </row>
    <row r="184" spans="10:10">
      <c r="J184" s="78"/>
    </row>
    <row r="185" spans="10:10">
      <c r="J185"/>
    </row>
    <row r="186" spans="10:10">
      <c r="J186"/>
    </row>
    <row r="187" spans="10:10">
      <c r="J187"/>
    </row>
    <row r="188" spans="10:10">
      <c r="J188"/>
    </row>
    <row r="189" spans="10:10">
      <c r="J189"/>
    </row>
    <row r="190" spans="10:10">
      <c r="J190"/>
    </row>
    <row r="191" spans="10:10">
      <c r="J191"/>
    </row>
    <row r="192" spans="10:10">
      <c r="J192"/>
    </row>
    <row r="193" spans="10:10">
      <c r="J193"/>
    </row>
    <row r="194" spans="10:10">
      <c r="J194"/>
    </row>
    <row r="195" spans="10:10">
      <c r="J195"/>
    </row>
    <row r="196" spans="10:10">
      <c r="J196"/>
    </row>
    <row r="197" spans="10:10">
      <c r="J197"/>
    </row>
    <row r="198" spans="10:10">
      <c r="J198"/>
    </row>
    <row r="199" spans="10:10">
      <c r="J199"/>
    </row>
    <row r="200" spans="10:10">
      <c r="J200"/>
    </row>
    <row r="201" spans="10:10">
      <c r="J201"/>
    </row>
    <row r="202" spans="10:10">
      <c r="J202"/>
    </row>
    <row r="203" spans="10:10">
      <c r="J203"/>
    </row>
    <row r="204" spans="10:10">
      <c r="J204"/>
    </row>
    <row r="205" spans="10:10">
      <c r="J205"/>
    </row>
    <row r="206" spans="10:10">
      <c r="J206"/>
    </row>
    <row r="207" spans="10:10">
      <c r="J207"/>
    </row>
    <row r="208" spans="10:10">
      <c r="J208"/>
    </row>
    <row r="209" spans="10:10">
      <c r="J209"/>
    </row>
    <row r="210" spans="10:10">
      <c r="J210"/>
    </row>
    <row r="211" spans="10:10">
      <c r="J211"/>
    </row>
    <row r="212" spans="10:10">
      <c r="J212"/>
    </row>
    <row r="213" spans="10:10">
      <c r="J213"/>
    </row>
    <row r="214" spans="10:10">
      <c r="J214"/>
    </row>
    <row r="215" spans="10:10">
      <c r="J215"/>
    </row>
    <row r="216" spans="10:10">
      <c r="J216"/>
    </row>
    <row r="217" spans="10:10">
      <c r="J217"/>
    </row>
    <row r="218" spans="10:10">
      <c r="J218"/>
    </row>
    <row r="219" spans="10:10">
      <c r="J219"/>
    </row>
    <row r="220" spans="10:10">
      <c r="J220"/>
    </row>
    <row r="221" spans="10:10">
      <c r="J221"/>
    </row>
    <row r="222" spans="10:10">
      <c r="J222"/>
    </row>
    <row r="223" spans="10:10">
      <c r="J223"/>
    </row>
    <row r="224" spans="10:10">
      <c r="J224"/>
    </row>
    <row r="225" spans="10:10">
      <c r="J225"/>
    </row>
    <row r="226" spans="10:10">
      <c r="J226"/>
    </row>
    <row r="227" spans="10:10">
      <c r="J227"/>
    </row>
    <row r="228" spans="10:10">
      <c r="J228"/>
    </row>
    <row r="229" spans="10:10">
      <c r="J229"/>
    </row>
    <row r="230" spans="10:10">
      <c r="J230"/>
    </row>
    <row r="231" spans="10:10">
      <c r="J231"/>
    </row>
    <row r="232" spans="10:10">
      <c r="J232"/>
    </row>
    <row r="233" spans="10:10">
      <c r="J233"/>
    </row>
    <row r="234" spans="10:10">
      <c r="J234"/>
    </row>
    <row r="235" spans="10:10">
      <c r="J235"/>
    </row>
    <row r="236" spans="10:10">
      <c r="J236"/>
    </row>
    <row r="237" spans="10:10">
      <c r="J237"/>
    </row>
    <row r="238" spans="10:10">
      <c r="J238"/>
    </row>
    <row r="239" spans="10:10">
      <c r="J239"/>
    </row>
    <row r="240" spans="10:10">
      <c r="J240"/>
    </row>
    <row r="241" spans="10:10">
      <c r="J241"/>
    </row>
    <row r="242" spans="10:10">
      <c r="J242"/>
    </row>
    <row r="243" spans="10:10">
      <c r="J243"/>
    </row>
    <row r="244" spans="10:10">
      <c r="J244"/>
    </row>
    <row r="245" spans="10:10">
      <c r="J245"/>
    </row>
    <row r="246" spans="10:10">
      <c r="J246"/>
    </row>
    <row r="247" spans="10:10">
      <c r="J247"/>
    </row>
    <row r="248" spans="10:10">
      <c r="J248"/>
    </row>
    <row r="249" spans="10:10">
      <c r="J249"/>
    </row>
    <row r="250" spans="10:10">
      <c r="J250"/>
    </row>
    <row r="251" spans="10:10">
      <c r="J251"/>
    </row>
    <row r="252" spans="10:10">
      <c r="J252"/>
    </row>
    <row r="253" spans="10:10">
      <c r="J253"/>
    </row>
    <row r="254" spans="10:10">
      <c r="J254"/>
    </row>
    <row r="255" spans="10:10">
      <c r="J255"/>
    </row>
    <row r="256" spans="10:10">
      <c r="J256"/>
    </row>
    <row r="257" spans="10:10">
      <c r="J257"/>
    </row>
    <row r="258" spans="10:10">
      <c r="J258"/>
    </row>
    <row r="259" spans="10:10">
      <c r="J259"/>
    </row>
    <row r="260" spans="10:10">
      <c r="J260"/>
    </row>
    <row r="261" spans="10:10">
      <c r="J261"/>
    </row>
    <row r="262" spans="10:10">
      <c r="J262"/>
    </row>
    <row r="263" spans="10:10">
      <c r="J263"/>
    </row>
    <row r="264" spans="10:10">
      <c r="J264"/>
    </row>
    <row r="265" spans="10:10">
      <c r="J265"/>
    </row>
    <row r="266" spans="10:10">
      <c r="J266"/>
    </row>
    <row r="267" spans="10:10">
      <c r="J267"/>
    </row>
    <row r="268" spans="10:10">
      <c r="J268"/>
    </row>
    <row r="269" spans="10:10">
      <c r="J269"/>
    </row>
    <row r="270" spans="10:10">
      <c r="J270"/>
    </row>
    <row r="271" spans="10:10">
      <c r="J271"/>
    </row>
    <row r="272" spans="10:10">
      <c r="J272"/>
    </row>
    <row r="273" spans="10:10">
      <c r="J273"/>
    </row>
    <row r="274" spans="10:10">
      <c r="J274"/>
    </row>
    <row r="275" spans="10:10">
      <c r="J275"/>
    </row>
    <row r="276" spans="10:10">
      <c r="J276"/>
    </row>
    <row r="277" spans="10:10">
      <c r="J277"/>
    </row>
    <row r="278" spans="10:10">
      <c r="J278"/>
    </row>
    <row r="279" spans="10:10">
      <c r="J279"/>
    </row>
    <row r="280" spans="10:10">
      <c r="J280"/>
    </row>
    <row r="281" spans="10:10">
      <c r="J281"/>
    </row>
    <row r="282" spans="10:10">
      <c r="J282"/>
    </row>
    <row r="283" spans="10:10">
      <c r="J283"/>
    </row>
    <row r="284" spans="10:10">
      <c r="J284"/>
    </row>
    <row r="285" spans="10:10">
      <c r="J285"/>
    </row>
    <row r="286" spans="10:10">
      <c r="J286"/>
    </row>
    <row r="287" spans="10:10">
      <c r="J287"/>
    </row>
    <row r="288" spans="10:10">
      <c r="J288"/>
    </row>
    <row r="289" spans="10:10">
      <c r="J289"/>
    </row>
    <row r="290" spans="10:10">
      <c r="J290"/>
    </row>
    <row r="291" spans="10:10">
      <c r="J291"/>
    </row>
    <row r="292" spans="10:10">
      <c r="J292"/>
    </row>
    <row r="293" spans="10:10">
      <c r="J293"/>
    </row>
    <row r="294" spans="10:10">
      <c r="J294"/>
    </row>
    <row r="295" spans="10:10">
      <c r="J295"/>
    </row>
    <row r="296" spans="10:10">
      <c r="J296"/>
    </row>
    <row r="297" spans="10:10">
      <c r="J297"/>
    </row>
    <row r="298" spans="10:10">
      <c r="J298"/>
    </row>
    <row r="299" spans="10:10">
      <c r="J299"/>
    </row>
    <row r="300" spans="10:10">
      <c r="J300"/>
    </row>
    <row r="301" spans="10:10">
      <c r="J301"/>
    </row>
    <row r="302" spans="10:10">
      <c r="J302"/>
    </row>
    <row r="303" spans="10:10">
      <c r="J303"/>
    </row>
    <row r="304" spans="10:10">
      <c r="J304"/>
    </row>
    <row r="305" spans="10:10">
      <c r="J305"/>
    </row>
    <row r="306" spans="10:10">
      <c r="J306"/>
    </row>
    <row r="307" spans="10:10">
      <c r="J307"/>
    </row>
    <row r="308" spans="10:10">
      <c r="J308"/>
    </row>
    <row r="309" spans="10:10">
      <c r="J309"/>
    </row>
    <row r="310" spans="10:10">
      <c r="J310"/>
    </row>
    <row r="311" spans="10:10">
      <c r="J311"/>
    </row>
    <row r="312" spans="10:10">
      <c r="J312"/>
    </row>
    <row r="313" spans="10:10">
      <c r="J313"/>
    </row>
    <row r="314" spans="10:10">
      <c r="J314"/>
    </row>
    <row r="315" spans="10:10">
      <c r="J315"/>
    </row>
    <row r="316" spans="10:10">
      <c r="J316"/>
    </row>
    <row r="317" spans="10:10">
      <c r="J317"/>
    </row>
    <row r="318" spans="10:10">
      <c r="J318"/>
    </row>
    <row r="319" spans="10:10">
      <c r="J319"/>
    </row>
    <row r="320" spans="10:10">
      <c r="J320"/>
    </row>
    <row r="321" spans="10:10">
      <c r="J321"/>
    </row>
    <row r="322" spans="10:10">
      <c r="J322"/>
    </row>
    <row r="323" spans="10:10">
      <c r="J323"/>
    </row>
    <row r="324" spans="10:10">
      <c r="J324"/>
    </row>
    <row r="325" spans="10:10">
      <c r="J325"/>
    </row>
    <row r="326" spans="10:10">
      <c r="J326"/>
    </row>
    <row r="327" spans="10:10">
      <c r="J327"/>
    </row>
    <row r="328" spans="10:10">
      <c r="J328"/>
    </row>
    <row r="329" spans="10:10">
      <c r="J329"/>
    </row>
    <row r="330" spans="10:10">
      <c r="J330"/>
    </row>
    <row r="331" spans="10:10">
      <c r="J331"/>
    </row>
    <row r="332" spans="10:10">
      <c r="J332"/>
    </row>
    <row r="333" spans="10:10">
      <c r="J333"/>
    </row>
    <row r="334" spans="10:10">
      <c r="J334"/>
    </row>
    <row r="335" spans="10:10">
      <c r="J335"/>
    </row>
    <row r="336" spans="10:10">
      <c r="J336"/>
    </row>
    <row r="337" spans="10:10">
      <c r="J337"/>
    </row>
    <row r="338" spans="10:10">
      <c r="J338"/>
    </row>
    <row r="339" spans="10:10">
      <c r="J339"/>
    </row>
    <row r="340" spans="10:10">
      <c r="J340"/>
    </row>
    <row r="341" spans="10:10">
      <c r="J341"/>
    </row>
    <row r="342" spans="10:10">
      <c r="J342"/>
    </row>
    <row r="343" spans="10:10">
      <c r="J343"/>
    </row>
    <row r="344" spans="10:10">
      <c r="J344"/>
    </row>
    <row r="345" spans="10:10">
      <c r="J345"/>
    </row>
    <row r="346" spans="10:10">
      <c r="J346"/>
    </row>
    <row r="347" spans="10:10">
      <c r="J347"/>
    </row>
    <row r="348" spans="10:10">
      <c r="J348"/>
    </row>
    <row r="349" spans="10:10">
      <c r="J349"/>
    </row>
    <row r="350" spans="10:10">
      <c r="J350"/>
    </row>
    <row r="351" spans="10:10">
      <c r="J351"/>
    </row>
    <row r="352" spans="10:10">
      <c r="J352"/>
    </row>
    <row r="353" spans="10:10">
      <c r="J353"/>
    </row>
    <row r="354" spans="10:10">
      <c r="J354"/>
    </row>
    <row r="355" spans="10:10">
      <c r="J355"/>
    </row>
    <row r="356" spans="10:10">
      <c r="J356"/>
    </row>
    <row r="357" spans="10:10">
      <c r="J357"/>
    </row>
    <row r="358" spans="10:10">
      <c r="J358"/>
    </row>
    <row r="359" spans="10:10">
      <c r="J359"/>
    </row>
    <row r="360" spans="10:10">
      <c r="J360"/>
    </row>
    <row r="361" spans="10:10">
      <c r="J361"/>
    </row>
    <row r="362" spans="10:10">
      <c r="J362"/>
    </row>
    <row r="363" spans="10:10">
      <c r="J363"/>
    </row>
    <row r="364" spans="10:10">
      <c r="J364"/>
    </row>
    <row r="365" spans="10:10">
      <c r="J365"/>
    </row>
    <row r="366" spans="10:10">
      <c r="J366"/>
    </row>
    <row r="367" spans="10:10">
      <c r="J367"/>
    </row>
    <row r="368" spans="10:10">
      <c r="J368"/>
    </row>
    <row r="369" spans="10:10">
      <c r="J369"/>
    </row>
    <row r="370" spans="10:10">
      <c r="J370"/>
    </row>
    <row r="371" spans="10:10">
      <c r="J371"/>
    </row>
    <row r="372" spans="10:10">
      <c r="J372"/>
    </row>
    <row r="373" spans="10:10">
      <c r="J373"/>
    </row>
    <row r="374" spans="10:10">
      <c r="J374"/>
    </row>
    <row r="375" spans="10:10">
      <c r="J375"/>
    </row>
    <row r="376" spans="10:10">
      <c r="J376"/>
    </row>
    <row r="377" spans="10:10">
      <c r="J377"/>
    </row>
    <row r="378" spans="10:10">
      <c r="J378"/>
    </row>
    <row r="379" spans="10:10">
      <c r="J379"/>
    </row>
    <row r="380" spans="10:10">
      <c r="J380"/>
    </row>
    <row r="381" spans="10:10">
      <c r="J381"/>
    </row>
    <row r="382" spans="10:10">
      <c r="J382"/>
    </row>
    <row r="383" spans="10:10">
      <c r="J383"/>
    </row>
    <row r="384" spans="10:10">
      <c r="J384"/>
    </row>
    <row r="385" spans="10:10">
      <c r="J385"/>
    </row>
    <row r="386" spans="10:10">
      <c r="J386"/>
    </row>
    <row r="387" spans="10:10">
      <c r="J387"/>
    </row>
    <row r="388" spans="10:10">
      <c r="J388"/>
    </row>
    <row r="389" spans="10:10">
      <c r="J389"/>
    </row>
    <row r="390" spans="10:10">
      <c r="J390"/>
    </row>
    <row r="391" spans="10:10">
      <c r="J391"/>
    </row>
    <row r="392" spans="10:10">
      <c r="J392"/>
    </row>
    <row r="393" spans="10:10">
      <c r="J393"/>
    </row>
    <row r="394" spans="10:10">
      <c r="J394"/>
    </row>
    <row r="395" spans="10:10">
      <c r="J395"/>
    </row>
    <row r="396" spans="10:10">
      <c r="J396"/>
    </row>
    <row r="397" spans="10:10">
      <c r="J397"/>
    </row>
    <row r="398" spans="10:10">
      <c r="J398"/>
    </row>
    <row r="399" spans="10:10">
      <c r="J399"/>
    </row>
    <row r="400" spans="10:10">
      <c r="J400"/>
    </row>
    <row r="401" spans="10:10">
      <c r="J401"/>
    </row>
    <row r="402" spans="10:10">
      <c r="J402"/>
    </row>
    <row r="403" spans="10:10">
      <c r="J403"/>
    </row>
    <row r="404" spans="10:10">
      <c r="J404"/>
    </row>
    <row r="405" spans="10:10">
      <c r="J405"/>
    </row>
    <row r="406" spans="10:10">
      <c r="J406"/>
    </row>
    <row r="407" spans="10:10">
      <c r="J407"/>
    </row>
    <row r="408" spans="10:10">
      <c r="J408"/>
    </row>
    <row r="409" spans="10:10">
      <c r="J409"/>
    </row>
    <row r="410" spans="10:10">
      <c r="J410"/>
    </row>
    <row r="411" spans="10:10">
      <c r="J411"/>
    </row>
    <row r="412" spans="10:10">
      <c r="J412"/>
    </row>
    <row r="413" spans="10:10">
      <c r="J413"/>
    </row>
    <row r="414" spans="10:10">
      <c r="J414"/>
    </row>
    <row r="415" spans="10:10">
      <c r="J415"/>
    </row>
    <row r="416" spans="10:10">
      <c r="J416"/>
    </row>
    <row r="417" spans="10:10">
      <c r="J417"/>
    </row>
    <row r="418" spans="10:10">
      <c r="J418"/>
    </row>
    <row r="419" spans="10:10">
      <c r="J419"/>
    </row>
    <row r="420" spans="10:10">
      <c r="J420"/>
    </row>
    <row r="421" spans="10:10">
      <c r="J421"/>
    </row>
    <row r="422" spans="10:10">
      <c r="J422"/>
    </row>
    <row r="423" spans="10:10">
      <c r="J423"/>
    </row>
    <row r="424" spans="10:10">
      <c r="J424"/>
    </row>
    <row r="425" spans="10:10">
      <c r="J425"/>
    </row>
    <row r="426" spans="10:10">
      <c r="J426"/>
    </row>
    <row r="427" spans="10:10">
      <c r="J427"/>
    </row>
    <row r="428" spans="10:10">
      <c r="J428"/>
    </row>
    <row r="429" spans="10:10">
      <c r="J429"/>
    </row>
    <row r="430" spans="10:10">
      <c r="J430"/>
    </row>
    <row r="431" spans="10:10">
      <c r="J431"/>
    </row>
    <row r="432" spans="10:10">
      <c r="J432"/>
    </row>
    <row r="433" spans="10:10">
      <c r="J433"/>
    </row>
    <row r="434" spans="10:10">
      <c r="J434"/>
    </row>
    <row r="435" spans="10:10">
      <c r="J435"/>
    </row>
    <row r="436" spans="10:10">
      <c r="J436"/>
    </row>
    <row r="437" spans="10:10">
      <c r="J437"/>
    </row>
    <row r="438" spans="10:10">
      <c r="J438"/>
    </row>
    <row r="439" spans="10:10">
      <c r="J439"/>
    </row>
    <row r="440" spans="10:10">
      <c r="J440"/>
    </row>
    <row r="441" spans="10:10">
      <c r="J441"/>
    </row>
    <row r="442" spans="10:10">
      <c r="J442"/>
    </row>
    <row r="443" spans="10:10">
      <c r="J443"/>
    </row>
    <row r="444" spans="10:10">
      <c r="J444"/>
    </row>
    <row r="445" spans="10:10">
      <c r="J445"/>
    </row>
    <row r="446" spans="10:10">
      <c r="J446"/>
    </row>
    <row r="447" spans="10:10">
      <c r="J447"/>
    </row>
    <row r="448" spans="10:10">
      <c r="J448"/>
    </row>
    <row r="449" spans="10:10">
      <c r="J449"/>
    </row>
    <row r="450" spans="10:10">
      <c r="J450"/>
    </row>
    <row r="451" spans="10:10">
      <c r="J451"/>
    </row>
    <row r="452" spans="10:10">
      <c r="J452"/>
    </row>
    <row r="453" spans="10:10">
      <c r="J453"/>
    </row>
    <row r="454" spans="10:10">
      <c r="J454"/>
    </row>
    <row r="455" spans="10:10">
      <c r="J455"/>
    </row>
    <row r="456" spans="10:10">
      <c r="J456"/>
    </row>
    <row r="457" spans="10:10">
      <c r="J457"/>
    </row>
    <row r="458" spans="10:10">
      <c r="J458"/>
    </row>
    <row r="459" spans="10:10">
      <c r="J459"/>
    </row>
    <row r="460" spans="10:10">
      <c r="J460"/>
    </row>
    <row r="461" spans="10:10">
      <c r="J461"/>
    </row>
    <row r="462" spans="10:10">
      <c r="J462"/>
    </row>
    <row r="463" spans="10:10">
      <c r="J463"/>
    </row>
    <row r="464" spans="10:10">
      <c r="J464"/>
    </row>
    <row r="465" spans="10:10">
      <c r="J465"/>
    </row>
    <row r="466" spans="10:10">
      <c r="J466"/>
    </row>
    <row r="467" spans="10:10">
      <c r="J467"/>
    </row>
    <row r="468" spans="10:10">
      <c r="J468"/>
    </row>
    <row r="469" spans="10:10">
      <c r="J469"/>
    </row>
    <row r="470" spans="10:10">
      <c r="J470"/>
    </row>
    <row r="471" spans="10:10">
      <c r="J471"/>
    </row>
    <row r="472" spans="10:10">
      <c r="J472"/>
    </row>
    <row r="473" spans="10:10">
      <c r="J473"/>
    </row>
    <row r="474" spans="10:10">
      <c r="J474"/>
    </row>
    <row r="475" spans="10:10">
      <c r="J475"/>
    </row>
    <row r="476" spans="10:10">
      <c r="J476"/>
    </row>
    <row r="477" spans="10:10">
      <c r="J477"/>
    </row>
    <row r="478" spans="10:10">
      <c r="J478"/>
    </row>
    <row r="479" spans="10:10">
      <c r="J479"/>
    </row>
    <row r="480" spans="10:10">
      <c r="J480"/>
    </row>
    <row r="481" spans="10:10">
      <c r="J481"/>
    </row>
    <row r="482" spans="10:10">
      <c r="J482"/>
    </row>
    <row r="483" spans="10:10">
      <c r="J483"/>
    </row>
    <row r="484" spans="10:10">
      <c r="J484"/>
    </row>
    <row r="485" spans="10:10">
      <c r="J485"/>
    </row>
    <row r="486" spans="10:10">
      <c r="J486"/>
    </row>
    <row r="487" spans="10:10">
      <c r="J487"/>
    </row>
    <row r="488" spans="10:10">
      <c r="J488"/>
    </row>
    <row r="489" spans="10:10">
      <c r="J489"/>
    </row>
    <row r="490" spans="10:10">
      <c r="J490"/>
    </row>
    <row r="491" spans="10:10">
      <c r="J491"/>
    </row>
    <row r="492" spans="10:10">
      <c r="J492"/>
    </row>
    <row r="493" spans="10:10">
      <c r="J493"/>
    </row>
    <row r="494" spans="10:10">
      <c r="J494"/>
    </row>
    <row r="495" spans="10:10">
      <c r="J495"/>
    </row>
    <row r="496" spans="10:10">
      <c r="J496"/>
    </row>
    <row r="497" spans="10:10">
      <c r="J497"/>
    </row>
    <row r="498" spans="10:10">
      <c r="J498"/>
    </row>
    <row r="499" spans="10:10">
      <c r="J499"/>
    </row>
    <row r="500" spans="10:10">
      <c r="J500"/>
    </row>
    <row r="501" spans="10:10">
      <c r="J501"/>
    </row>
    <row r="502" spans="10:10">
      <c r="J502"/>
    </row>
    <row r="503" spans="10:10">
      <c r="J503"/>
    </row>
    <row r="504" spans="10:10">
      <c r="J504"/>
    </row>
    <row r="505" spans="10:10">
      <c r="J505"/>
    </row>
    <row r="506" spans="10:10">
      <c r="J506"/>
    </row>
    <row r="507" spans="10:10">
      <c r="J507"/>
    </row>
    <row r="508" spans="10:10">
      <c r="J508"/>
    </row>
    <row r="509" spans="10:10">
      <c r="J509"/>
    </row>
    <row r="510" spans="10:10">
      <c r="J510"/>
    </row>
    <row r="511" spans="10:10">
      <c r="J511"/>
    </row>
    <row r="512" spans="10:10">
      <c r="J512"/>
    </row>
    <row r="513" spans="10:10">
      <c r="J513"/>
    </row>
    <row r="514" spans="10:10">
      <c r="J514"/>
    </row>
    <row r="515" spans="10:10">
      <c r="J515"/>
    </row>
    <row r="516" spans="10:10">
      <c r="J516"/>
    </row>
    <row r="517" spans="10:10">
      <c r="J517"/>
    </row>
    <row r="518" spans="10:10">
      <c r="J518"/>
    </row>
    <row r="519" spans="10:10">
      <c r="J519"/>
    </row>
    <row r="520" spans="10:10">
      <c r="J520"/>
    </row>
    <row r="521" spans="10:10">
      <c r="J521"/>
    </row>
    <row r="522" spans="10:10">
      <c r="J522"/>
    </row>
    <row r="523" spans="10:10">
      <c r="J523"/>
    </row>
    <row r="524" spans="10:10">
      <c r="J524"/>
    </row>
    <row r="525" spans="10:10">
      <c r="J525"/>
    </row>
    <row r="526" spans="10:10">
      <c r="J526"/>
    </row>
    <row r="527" spans="10:10">
      <c r="J527"/>
    </row>
    <row r="528" spans="10:10">
      <c r="J528"/>
    </row>
    <row r="529" spans="10:10">
      <c r="J529"/>
    </row>
    <row r="530" spans="10:10">
      <c r="J530"/>
    </row>
    <row r="531" spans="10:10">
      <c r="J531"/>
    </row>
    <row r="532" spans="10:10">
      <c r="J532"/>
    </row>
    <row r="533" spans="10:10">
      <c r="J533"/>
    </row>
    <row r="534" spans="10:10">
      <c r="J534"/>
    </row>
    <row r="535" spans="10:10">
      <c r="J535"/>
    </row>
    <row r="536" spans="10:10">
      <c r="J536"/>
    </row>
    <row r="537" spans="10:10">
      <c r="J537"/>
    </row>
    <row r="538" spans="10:10">
      <c r="J538"/>
    </row>
    <row r="539" spans="10:10">
      <c r="J539"/>
    </row>
    <row r="540" spans="10:10">
      <c r="J540"/>
    </row>
    <row r="541" spans="10:10">
      <c r="J541"/>
    </row>
    <row r="542" spans="10:10">
      <c r="J542"/>
    </row>
    <row r="543" spans="10:10">
      <c r="J543"/>
    </row>
    <row r="544" spans="10:10">
      <c r="J544"/>
    </row>
    <row r="545" spans="10:10">
      <c r="J545"/>
    </row>
    <row r="546" spans="10:10">
      <c r="J546"/>
    </row>
    <row r="547" spans="10:10">
      <c r="J547"/>
    </row>
    <row r="548" spans="10:10">
      <c r="J548"/>
    </row>
    <row r="549" spans="10:10">
      <c r="J549"/>
    </row>
    <row r="550" spans="10:10">
      <c r="J550"/>
    </row>
    <row r="551" spans="10:10">
      <c r="J551"/>
    </row>
    <row r="552" spans="10:10">
      <c r="J552"/>
    </row>
    <row r="553" spans="10:10">
      <c r="J553"/>
    </row>
    <row r="554" spans="10:10">
      <c r="J554"/>
    </row>
    <row r="555" spans="10:10">
      <c r="J555"/>
    </row>
    <row r="556" spans="10:10">
      <c r="J556"/>
    </row>
    <row r="557" spans="10:10">
      <c r="J557"/>
    </row>
    <row r="558" spans="10:10">
      <c r="J558"/>
    </row>
    <row r="559" spans="10:10">
      <c r="J559"/>
    </row>
    <row r="560" spans="10:10">
      <c r="J560"/>
    </row>
    <row r="561" spans="10:10">
      <c r="J561"/>
    </row>
    <row r="562" spans="10:10">
      <c r="J562"/>
    </row>
    <row r="563" spans="10:10">
      <c r="J563"/>
    </row>
    <row r="564" spans="10:10">
      <c r="J564"/>
    </row>
    <row r="565" spans="10:10">
      <c r="J565"/>
    </row>
    <row r="566" spans="10:10">
      <c r="J566"/>
    </row>
    <row r="567" spans="10:10">
      <c r="J567"/>
    </row>
    <row r="568" spans="10:10">
      <c r="J568"/>
    </row>
    <row r="569" spans="10:10">
      <c r="J569"/>
    </row>
    <row r="570" spans="10:10">
      <c r="J570" s="92"/>
    </row>
  </sheetData>
  <autoFilter ref="A1:V133" xr:uid="{37BAA5D7-03C0-44A8-A055-14FABE14B27D}"/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85E1-9831-4E41-A6E8-A5D3CCE02D51}">
  <dimension ref="A2:J11"/>
  <sheetViews>
    <sheetView topLeftCell="B1" workbookViewId="0">
      <selection activeCell="B32" sqref="B32:B42"/>
    </sheetView>
  </sheetViews>
  <sheetFormatPr defaultRowHeight="15"/>
  <cols>
    <col min="2" max="2" width="25.7109375" bestFit="1" customWidth="1"/>
    <col min="3" max="3" width="11.28515625" customWidth="1"/>
    <col min="5" max="5" width="15.42578125" bestFit="1" customWidth="1"/>
    <col min="6" max="6" width="15.140625" bestFit="1" customWidth="1"/>
    <col min="7" max="7" width="12.42578125" bestFit="1" customWidth="1"/>
    <col min="8" max="8" width="13.5703125" bestFit="1" customWidth="1"/>
    <col min="9" max="9" width="13.5703125" customWidth="1"/>
    <col min="10" max="10" width="10.85546875" bestFit="1" customWidth="1"/>
  </cols>
  <sheetData>
    <row r="2" spans="1:10" ht="15.75">
      <c r="A2" s="103" t="s">
        <v>221</v>
      </c>
      <c r="B2" s="103" t="s">
        <v>0</v>
      </c>
      <c r="C2" s="103" t="s">
        <v>1</v>
      </c>
      <c r="D2" s="103" t="s">
        <v>2</v>
      </c>
      <c r="E2" s="104" t="s">
        <v>6</v>
      </c>
      <c r="F2" s="103" t="s">
        <v>7</v>
      </c>
      <c r="G2" s="103" t="s">
        <v>9</v>
      </c>
      <c r="H2" s="81" t="s">
        <v>20</v>
      </c>
      <c r="I2" s="99" t="s">
        <v>222</v>
      </c>
      <c r="J2" s="81" t="s">
        <v>223</v>
      </c>
    </row>
    <row r="3" spans="1:10">
      <c r="A3" s="88">
        <v>1</v>
      </c>
      <c r="B3" s="161" t="s">
        <v>224</v>
      </c>
      <c r="C3" s="106" t="s">
        <v>225</v>
      </c>
      <c r="D3" s="88">
        <v>1</v>
      </c>
      <c r="E3" s="64" t="s">
        <v>226</v>
      </c>
      <c r="F3" s="88" t="s">
        <v>227</v>
      </c>
      <c r="G3" s="105" t="s">
        <v>75</v>
      </c>
      <c r="H3" s="107">
        <v>46173</v>
      </c>
      <c r="I3" s="111"/>
      <c r="J3" s="88" t="s">
        <v>228</v>
      </c>
    </row>
    <row r="4" spans="1:10">
      <c r="A4" s="88">
        <v>2</v>
      </c>
      <c r="B4" s="161" t="s">
        <v>229</v>
      </c>
      <c r="C4" s="106" t="s">
        <v>225</v>
      </c>
      <c r="D4" s="88">
        <v>12</v>
      </c>
      <c r="E4" s="64">
        <v>45637</v>
      </c>
      <c r="F4" s="88" t="s">
        <v>230</v>
      </c>
      <c r="G4" s="105" t="s">
        <v>75</v>
      </c>
      <c r="H4" s="107">
        <v>46173</v>
      </c>
      <c r="I4" s="111"/>
      <c r="J4" s="88" t="s">
        <v>231</v>
      </c>
    </row>
    <row r="5" spans="1:10">
      <c r="A5" s="88">
        <v>3</v>
      </c>
      <c r="B5" s="161" t="s">
        <v>232</v>
      </c>
      <c r="C5" s="106" t="s">
        <v>225</v>
      </c>
      <c r="D5" s="88">
        <v>2</v>
      </c>
      <c r="E5" s="64">
        <v>45622</v>
      </c>
      <c r="F5" s="88" t="s">
        <v>233</v>
      </c>
      <c r="G5" s="105" t="s">
        <v>75</v>
      </c>
      <c r="H5" s="107">
        <v>46173</v>
      </c>
      <c r="I5" s="111"/>
      <c r="J5" s="88" t="s">
        <v>231</v>
      </c>
    </row>
    <row r="6" spans="1:10">
      <c r="A6" s="88">
        <v>4</v>
      </c>
      <c r="B6" s="161" t="s">
        <v>224</v>
      </c>
      <c r="C6" s="106" t="s">
        <v>225</v>
      </c>
      <c r="D6" s="88">
        <v>8</v>
      </c>
      <c r="E6" s="64">
        <v>45617</v>
      </c>
      <c r="F6" s="88" t="s">
        <v>230</v>
      </c>
      <c r="G6" s="105" t="s">
        <v>75</v>
      </c>
      <c r="H6" s="107">
        <v>46173</v>
      </c>
      <c r="I6" s="111"/>
      <c r="J6" s="88" t="s">
        <v>231</v>
      </c>
    </row>
    <row r="7" spans="1:10">
      <c r="A7" s="88">
        <v>6</v>
      </c>
      <c r="B7" s="161" t="s">
        <v>234</v>
      </c>
      <c r="C7" s="106" t="s">
        <v>225</v>
      </c>
      <c r="D7" s="96">
        <v>5</v>
      </c>
      <c r="E7" s="64">
        <v>45663</v>
      </c>
      <c r="F7" s="88" t="s">
        <v>227</v>
      </c>
      <c r="G7" s="105" t="s">
        <v>75</v>
      </c>
      <c r="H7" s="107">
        <v>46173</v>
      </c>
      <c r="I7" s="108"/>
      <c r="J7" s="88" t="s">
        <v>231</v>
      </c>
    </row>
    <row r="8" spans="1:10">
      <c r="A8" s="88">
        <v>8</v>
      </c>
      <c r="B8" s="161" t="s">
        <v>235</v>
      </c>
      <c r="C8" s="106" t="s">
        <v>225</v>
      </c>
      <c r="D8" s="139">
        <v>2</v>
      </c>
      <c r="E8" s="72"/>
      <c r="F8" s="88" t="s">
        <v>227</v>
      </c>
      <c r="G8" s="140" t="s">
        <v>26</v>
      </c>
      <c r="H8" s="107">
        <v>46173</v>
      </c>
      <c r="I8" s="72"/>
      <c r="J8" s="88" t="s">
        <v>231</v>
      </c>
    </row>
    <row r="9" spans="1:10">
      <c r="A9" s="88">
        <v>9</v>
      </c>
      <c r="B9" s="161" t="s">
        <v>236</v>
      </c>
      <c r="C9" s="106" t="s">
        <v>225</v>
      </c>
      <c r="D9" s="139">
        <v>1</v>
      </c>
      <c r="E9" s="72"/>
      <c r="F9" s="88" t="s">
        <v>227</v>
      </c>
      <c r="G9" s="140" t="s">
        <v>26</v>
      </c>
      <c r="H9" s="107">
        <v>46173</v>
      </c>
      <c r="I9" s="72"/>
      <c r="J9" s="88" t="s">
        <v>231</v>
      </c>
    </row>
    <row r="10" spans="1:10">
      <c r="A10" s="88">
        <v>10</v>
      </c>
      <c r="B10" s="161" t="s">
        <v>237</v>
      </c>
      <c r="C10" s="106" t="s">
        <v>225</v>
      </c>
      <c r="D10" s="139">
        <v>1</v>
      </c>
      <c r="E10" s="72"/>
      <c r="F10" s="88" t="s">
        <v>227</v>
      </c>
      <c r="G10" s="140" t="s">
        <v>26</v>
      </c>
      <c r="H10" s="107">
        <v>46173</v>
      </c>
      <c r="I10" s="72"/>
      <c r="J10" s="88" t="s">
        <v>231</v>
      </c>
    </row>
    <row r="11" spans="1:10">
      <c r="A11" s="88">
        <v>11</v>
      </c>
      <c r="B11" s="161" t="s">
        <v>238</v>
      </c>
      <c r="C11" s="106" t="s">
        <v>225</v>
      </c>
      <c r="D11" s="139">
        <v>2</v>
      </c>
      <c r="E11" s="72"/>
      <c r="F11" s="88" t="s">
        <v>227</v>
      </c>
      <c r="G11" s="140" t="s">
        <v>26</v>
      </c>
      <c r="H11" s="107">
        <v>46173</v>
      </c>
      <c r="I11" s="72"/>
      <c r="J11" s="88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AF15-B806-4E18-8851-45E2CDB0FEE7}">
  <sheetPr filterMode="1"/>
  <dimension ref="A1:J852"/>
  <sheetViews>
    <sheetView tabSelected="1" workbookViewId="0">
      <selection activeCell="I400" sqref="I400:I652"/>
    </sheetView>
  </sheetViews>
  <sheetFormatPr defaultRowHeight="15"/>
  <cols>
    <col min="1" max="1" width="13.5703125" style="54" bestFit="1" customWidth="1"/>
    <col min="2" max="2" width="36" bestFit="1" customWidth="1"/>
    <col min="3" max="3" width="15.28515625" bestFit="1" customWidth="1"/>
    <col min="4" max="4" width="14.7109375" bestFit="1" customWidth="1"/>
    <col min="5" max="5" width="16.28515625" bestFit="1" customWidth="1"/>
    <col min="6" max="6" width="16.42578125" style="61" bestFit="1" customWidth="1"/>
    <col min="7" max="7" width="9.42578125" bestFit="1" customWidth="1"/>
  </cols>
  <sheetData>
    <row r="1" spans="1:9">
      <c r="A1" s="42" t="s">
        <v>239</v>
      </c>
      <c r="B1" s="24" t="s">
        <v>240</v>
      </c>
      <c r="C1" s="24" t="s">
        <v>241</v>
      </c>
      <c r="D1" s="24" t="s">
        <v>242</v>
      </c>
      <c r="E1" s="24" t="s">
        <v>243</v>
      </c>
      <c r="F1" s="62" t="s">
        <v>244</v>
      </c>
      <c r="G1" s="25" t="s">
        <v>245</v>
      </c>
      <c r="H1" s="24" t="s">
        <v>246</v>
      </c>
      <c r="I1" s="25"/>
    </row>
    <row r="2" spans="1:9" hidden="1">
      <c r="A2" s="43">
        <v>8020</v>
      </c>
      <c r="B2" s="26" t="s">
        <v>247</v>
      </c>
      <c r="C2" s="27" t="s">
        <v>248</v>
      </c>
      <c r="D2" s="27">
        <v>3380</v>
      </c>
      <c r="E2" s="44">
        <v>5</v>
      </c>
      <c r="F2" s="60">
        <v>41608</v>
      </c>
      <c r="G2" s="38" t="s">
        <v>29</v>
      </c>
      <c r="H2" s="28">
        <f>YEAR(F2)</f>
        <v>2013</v>
      </c>
      <c r="I2" s="80"/>
    </row>
    <row r="3" spans="1:9" hidden="1">
      <c r="A3" s="43">
        <v>8024</v>
      </c>
      <c r="B3" s="26" t="s">
        <v>249</v>
      </c>
      <c r="C3" s="27" t="s">
        <v>248</v>
      </c>
      <c r="D3" s="27">
        <v>3380</v>
      </c>
      <c r="E3" s="44">
        <v>5</v>
      </c>
      <c r="F3" s="60">
        <v>41650</v>
      </c>
      <c r="G3" s="38" t="s">
        <v>29</v>
      </c>
      <c r="H3" s="28">
        <f t="shared" ref="H3:H54" si="0">YEAR(F3)</f>
        <v>2014</v>
      </c>
      <c r="I3" s="80"/>
    </row>
    <row r="4" spans="1:9" hidden="1">
      <c r="A4" s="43">
        <v>8025</v>
      </c>
      <c r="B4" s="26" t="s">
        <v>250</v>
      </c>
      <c r="C4" s="27" t="s">
        <v>248</v>
      </c>
      <c r="D4" s="27">
        <v>3380</v>
      </c>
      <c r="E4" s="44"/>
      <c r="F4" s="60">
        <v>41683</v>
      </c>
      <c r="G4" s="38" t="s">
        <v>29</v>
      </c>
      <c r="H4" s="28">
        <f t="shared" si="0"/>
        <v>2014</v>
      </c>
      <c r="I4" s="80"/>
    </row>
    <row r="5" spans="1:9" hidden="1">
      <c r="A5" s="43">
        <v>8026</v>
      </c>
      <c r="B5" s="46" t="s">
        <v>251</v>
      </c>
      <c r="C5" s="27" t="s">
        <v>248</v>
      </c>
      <c r="D5" s="29">
        <v>5070</v>
      </c>
      <c r="E5" s="55"/>
      <c r="F5" s="60">
        <v>41681</v>
      </c>
      <c r="G5" s="79" t="s">
        <v>29</v>
      </c>
      <c r="H5" s="28">
        <f t="shared" si="0"/>
        <v>2014</v>
      </c>
      <c r="I5" s="80"/>
    </row>
    <row r="6" spans="1:9" hidden="1">
      <c r="A6" s="43">
        <v>8031</v>
      </c>
      <c r="B6" s="26" t="s">
        <v>187</v>
      </c>
      <c r="C6" s="27" t="s">
        <v>248</v>
      </c>
      <c r="D6" s="27">
        <v>5180</v>
      </c>
      <c r="E6" s="44"/>
      <c r="F6" s="60">
        <v>41973</v>
      </c>
      <c r="G6" s="38" t="s">
        <v>29</v>
      </c>
      <c r="H6" s="28">
        <f t="shared" si="0"/>
        <v>2014</v>
      </c>
      <c r="I6" s="80"/>
    </row>
    <row r="7" spans="1:9" hidden="1">
      <c r="A7" s="43">
        <v>8032</v>
      </c>
      <c r="B7" s="26" t="s">
        <v>252</v>
      </c>
      <c r="C7" s="27" t="s">
        <v>248</v>
      </c>
      <c r="D7" s="27">
        <v>2960</v>
      </c>
      <c r="E7" s="44"/>
      <c r="F7" s="60">
        <v>41973</v>
      </c>
      <c r="G7" s="38" t="s">
        <v>29</v>
      </c>
      <c r="H7" s="28">
        <f t="shared" si="0"/>
        <v>2014</v>
      </c>
      <c r="I7" s="80"/>
    </row>
    <row r="8" spans="1:9" hidden="1">
      <c r="A8" s="43">
        <v>8042</v>
      </c>
      <c r="B8" s="26" t="s">
        <v>187</v>
      </c>
      <c r="C8" s="27" t="s">
        <v>253</v>
      </c>
      <c r="D8" s="27">
        <v>1330</v>
      </c>
      <c r="E8" s="44"/>
      <c r="F8" s="60">
        <v>42155</v>
      </c>
      <c r="G8" s="38" t="s">
        <v>29</v>
      </c>
      <c r="H8" s="28">
        <f t="shared" si="0"/>
        <v>2015</v>
      </c>
      <c r="I8" s="80"/>
    </row>
    <row r="9" spans="1:9" hidden="1">
      <c r="A9" s="43">
        <v>8043</v>
      </c>
      <c r="B9" s="26" t="s">
        <v>252</v>
      </c>
      <c r="C9" s="27" t="s">
        <v>253</v>
      </c>
      <c r="D9" s="27">
        <v>760</v>
      </c>
      <c r="E9" s="44"/>
      <c r="F9" s="60">
        <v>42338</v>
      </c>
      <c r="G9" s="38" t="s">
        <v>29</v>
      </c>
      <c r="H9" s="28">
        <f t="shared" si="0"/>
        <v>2015</v>
      </c>
      <c r="I9" s="80"/>
    </row>
    <row r="10" spans="1:9" hidden="1">
      <c r="A10" s="43">
        <v>8044</v>
      </c>
      <c r="B10" s="26" t="s">
        <v>254</v>
      </c>
      <c r="C10" s="27" t="s">
        <v>248</v>
      </c>
      <c r="D10" s="27">
        <v>4440</v>
      </c>
      <c r="E10" s="44"/>
      <c r="F10" s="60">
        <v>42094</v>
      </c>
      <c r="G10" s="38" t="s">
        <v>29</v>
      </c>
      <c r="H10" s="28">
        <f t="shared" si="0"/>
        <v>2015</v>
      </c>
      <c r="I10" s="80"/>
    </row>
    <row r="11" spans="1:9" hidden="1">
      <c r="A11" s="43">
        <v>8045</v>
      </c>
      <c r="B11" s="26" t="s">
        <v>255</v>
      </c>
      <c r="C11" s="27" t="s">
        <v>248</v>
      </c>
      <c r="D11" s="27">
        <v>3700</v>
      </c>
      <c r="E11" s="44"/>
      <c r="F11" s="60">
        <v>42185</v>
      </c>
      <c r="G11" s="38" t="s">
        <v>29</v>
      </c>
      <c r="H11" s="28">
        <f t="shared" si="0"/>
        <v>2015</v>
      </c>
      <c r="I11" s="80"/>
    </row>
    <row r="12" spans="1:9" hidden="1">
      <c r="A12" s="43">
        <v>8046</v>
      </c>
      <c r="B12" s="26" t="s">
        <v>256</v>
      </c>
      <c r="C12" s="27" t="s">
        <v>248</v>
      </c>
      <c r="D12" s="27">
        <v>2960</v>
      </c>
      <c r="E12" s="44"/>
      <c r="F12" s="60">
        <v>42277</v>
      </c>
      <c r="G12" s="38" t="s">
        <v>29</v>
      </c>
      <c r="H12" s="28">
        <f t="shared" si="0"/>
        <v>2015</v>
      </c>
      <c r="I12" s="80"/>
    </row>
    <row r="13" spans="1:9" hidden="1">
      <c r="A13" s="43">
        <v>8047</v>
      </c>
      <c r="B13" s="26" t="s">
        <v>257</v>
      </c>
      <c r="C13" s="27" t="s">
        <v>248</v>
      </c>
      <c r="D13" s="27">
        <v>4668</v>
      </c>
      <c r="E13" s="44"/>
      <c r="F13" s="60">
        <v>42380</v>
      </c>
      <c r="G13" s="38" t="s">
        <v>29</v>
      </c>
      <c r="H13" s="28">
        <f t="shared" si="0"/>
        <v>2016</v>
      </c>
      <c r="I13" s="80"/>
    </row>
    <row r="14" spans="1:9" hidden="1">
      <c r="A14" s="43">
        <v>8048</v>
      </c>
      <c r="B14" s="26" t="s">
        <v>258</v>
      </c>
      <c r="C14" s="27" t="s">
        <v>248</v>
      </c>
      <c r="D14" s="27">
        <v>3890</v>
      </c>
      <c r="E14" s="44"/>
      <c r="F14" s="60">
        <v>42704</v>
      </c>
      <c r="G14" s="38" t="s">
        <v>29</v>
      </c>
      <c r="H14" s="28">
        <f t="shared" si="0"/>
        <v>2016</v>
      </c>
      <c r="I14" s="80"/>
    </row>
    <row r="15" spans="1:9" hidden="1">
      <c r="A15" s="43">
        <v>8049</v>
      </c>
      <c r="B15" s="26" t="s">
        <v>259</v>
      </c>
      <c r="C15" s="27" t="s">
        <v>248</v>
      </c>
      <c r="D15" s="27">
        <v>3890</v>
      </c>
      <c r="E15" s="44"/>
      <c r="F15" s="60">
        <v>42704</v>
      </c>
      <c r="G15" s="38" t="s">
        <v>29</v>
      </c>
      <c r="H15" s="28">
        <f t="shared" si="0"/>
        <v>2016</v>
      </c>
      <c r="I15" s="80"/>
    </row>
    <row r="16" spans="1:9" hidden="1">
      <c r="A16" s="43">
        <v>8050</v>
      </c>
      <c r="B16" s="26" t="s">
        <v>260</v>
      </c>
      <c r="C16" s="27" t="s">
        <v>248</v>
      </c>
      <c r="D16" s="27">
        <v>3890</v>
      </c>
      <c r="E16" s="44"/>
      <c r="F16" s="60">
        <v>42735</v>
      </c>
      <c r="G16" s="38" t="s">
        <v>29</v>
      </c>
      <c r="H16" s="28">
        <f t="shared" si="0"/>
        <v>2016</v>
      </c>
      <c r="I16" s="80"/>
    </row>
    <row r="17" spans="1:9" hidden="1">
      <c r="A17" s="43">
        <v>8051</v>
      </c>
      <c r="B17" s="26" t="s">
        <v>261</v>
      </c>
      <c r="C17" s="27" t="s">
        <v>248</v>
      </c>
      <c r="D17" s="27">
        <v>4668</v>
      </c>
      <c r="E17" s="44"/>
      <c r="F17" s="60">
        <v>42735</v>
      </c>
      <c r="G17" s="38" t="s">
        <v>29</v>
      </c>
      <c r="H17" s="28">
        <f t="shared" si="0"/>
        <v>2016</v>
      </c>
      <c r="I17" s="80"/>
    </row>
    <row r="18" spans="1:9" hidden="1">
      <c r="A18" s="43">
        <v>8052</v>
      </c>
      <c r="B18" s="26" t="s">
        <v>262</v>
      </c>
      <c r="C18" s="27" t="s">
        <v>248</v>
      </c>
      <c r="D18" s="27">
        <v>3112</v>
      </c>
      <c r="E18" s="44"/>
      <c r="F18" s="60">
        <v>42372</v>
      </c>
      <c r="G18" s="38" t="s">
        <v>29</v>
      </c>
      <c r="H18" s="28">
        <f t="shared" si="0"/>
        <v>2016</v>
      </c>
      <c r="I18" s="80"/>
    </row>
    <row r="19" spans="1:9" hidden="1">
      <c r="A19" s="43">
        <v>8053</v>
      </c>
      <c r="B19" s="26" t="s">
        <v>263</v>
      </c>
      <c r="C19" s="27" t="s">
        <v>248</v>
      </c>
      <c r="D19" s="27">
        <v>2334</v>
      </c>
      <c r="E19" s="44"/>
      <c r="F19" s="60">
        <v>42372</v>
      </c>
      <c r="G19" s="38" t="s">
        <v>29</v>
      </c>
      <c r="H19" s="28">
        <f t="shared" si="0"/>
        <v>2016</v>
      </c>
      <c r="I19" s="80"/>
    </row>
    <row r="20" spans="1:9" hidden="1">
      <c r="A20" s="43">
        <v>8054</v>
      </c>
      <c r="B20" s="26" t="s">
        <v>264</v>
      </c>
      <c r="C20" s="27" t="s">
        <v>248</v>
      </c>
      <c r="D20" s="27">
        <v>5446</v>
      </c>
      <c r="E20" s="44"/>
      <c r="F20" s="60">
        <v>42372</v>
      </c>
      <c r="G20" s="38" t="s">
        <v>29</v>
      </c>
      <c r="H20" s="28">
        <f t="shared" si="0"/>
        <v>2016</v>
      </c>
      <c r="I20" s="80"/>
    </row>
    <row r="21" spans="1:9" hidden="1">
      <c r="A21" s="43">
        <v>8055</v>
      </c>
      <c r="B21" s="26" t="s">
        <v>265</v>
      </c>
      <c r="C21" s="27" t="s">
        <v>248</v>
      </c>
      <c r="D21" s="27">
        <v>3890</v>
      </c>
      <c r="E21" s="44"/>
      <c r="F21" s="60">
        <v>42460</v>
      </c>
      <c r="G21" s="38" t="s">
        <v>29</v>
      </c>
      <c r="H21" s="28">
        <f t="shared" si="0"/>
        <v>2016</v>
      </c>
      <c r="I21" s="80"/>
    </row>
    <row r="22" spans="1:9" hidden="1">
      <c r="A22" s="43">
        <v>8056</v>
      </c>
      <c r="B22" s="26" t="s">
        <v>266</v>
      </c>
      <c r="C22" s="27" t="s">
        <v>248</v>
      </c>
      <c r="D22" s="27">
        <v>778</v>
      </c>
      <c r="E22" s="44"/>
      <c r="F22" s="60">
        <v>42460</v>
      </c>
      <c r="G22" s="38" t="s">
        <v>29</v>
      </c>
      <c r="H22" s="28">
        <f t="shared" si="0"/>
        <v>2016</v>
      </c>
      <c r="I22" s="80"/>
    </row>
    <row r="23" spans="1:9" hidden="1">
      <c r="A23" s="43">
        <v>8057</v>
      </c>
      <c r="B23" s="26" t="s">
        <v>187</v>
      </c>
      <c r="C23" s="27" t="s">
        <v>253</v>
      </c>
      <c r="D23" s="27">
        <v>1862</v>
      </c>
      <c r="E23" s="44"/>
      <c r="F23" s="60">
        <v>42521</v>
      </c>
      <c r="G23" s="38" t="s">
        <v>29</v>
      </c>
      <c r="H23" s="28">
        <f t="shared" si="0"/>
        <v>2016</v>
      </c>
      <c r="I23" s="80"/>
    </row>
    <row r="24" spans="1:9" hidden="1">
      <c r="A24" s="43">
        <v>8058</v>
      </c>
      <c r="B24" s="26" t="s">
        <v>252</v>
      </c>
      <c r="C24" s="27" t="s">
        <v>267</v>
      </c>
      <c r="D24" s="27">
        <v>1064</v>
      </c>
      <c r="E24" s="44"/>
      <c r="F24" s="60">
        <v>42521</v>
      </c>
      <c r="G24" s="38" t="s">
        <v>29</v>
      </c>
      <c r="H24" s="28">
        <f t="shared" si="0"/>
        <v>2016</v>
      </c>
      <c r="I24" s="80"/>
    </row>
    <row r="25" spans="1:9" hidden="1">
      <c r="A25" s="43">
        <v>8059</v>
      </c>
      <c r="B25" s="26" t="s">
        <v>254</v>
      </c>
      <c r="C25" s="27" t="s">
        <v>253</v>
      </c>
      <c r="D25" s="27">
        <v>1596</v>
      </c>
      <c r="E25" s="44"/>
      <c r="F25" s="60">
        <v>42460</v>
      </c>
      <c r="G25" s="38" t="s">
        <v>29</v>
      </c>
      <c r="H25" s="28">
        <f t="shared" si="0"/>
        <v>2016</v>
      </c>
      <c r="I25" s="80"/>
    </row>
    <row r="26" spans="1:9" hidden="1">
      <c r="A26" s="43">
        <v>8060</v>
      </c>
      <c r="B26" s="26" t="s">
        <v>255</v>
      </c>
      <c r="C26" s="27" t="s">
        <v>253</v>
      </c>
      <c r="D26" s="27">
        <v>1330</v>
      </c>
      <c r="E26" s="44"/>
      <c r="F26" s="60">
        <v>42551</v>
      </c>
      <c r="G26" s="38" t="s">
        <v>29</v>
      </c>
      <c r="H26" s="28">
        <f t="shared" si="0"/>
        <v>2016</v>
      </c>
      <c r="I26" s="80"/>
    </row>
    <row r="27" spans="1:9" hidden="1">
      <c r="A27" s="43">
        <v>8061</v>
      </c>
      <c r="B27" s="26" t="s">
        <v>268</v>
      </c>
      <c r="C27" s="27" t="s">
        <v>248</v>
      </c>
      <c r="D27" s="27">
        <v>3112</v>
      </c>
      <c r="E27" s="44"/>
      <c r="F27" s="60">
        <v>42581</v>
      </c>
      <c r="G27" s="38" t="s">
        <v>29</v>
      </c>
      <c r="H27" s="28">
        <f t="shared" si="0"/>
        <v>2016</v>
      </c>
      <c r="I27" s="80"/>
    </row>
    <row r="28" spans="1:9" hidden="1">
      <c r="A28" s="43">
        <v>8062</v>
      </c>
      <c r="B28" s="26" t="s">
        <v>269</v>
      </c>
      <c r="C28" s="27" t="s">
        <v>248</v>
      </c>
      <c r="D28" s="27">
        <v>3112</v>
      </c>
      <c r="E28" s="44"/>
      <c r="F28" s="60">
        <v>42929</v>
      </c>
      <c r="G28" s="38" t="s">
        <v>29</v>
      </c>
      <c r="H28" s="28">
        <f t="shared" si="0"/>
        <v>2017</v>
      </c>
      <c r="I28" s="80"/>
    </row>
    <row r="29" spans="1:9" hidden="1">
      <c r="A29" s="43">
        <v>8063</v>
      </c>
      <c r="B29" s="26" t="s">
        <v>270</v>
      </c>
      <c r="C29" s="27" t="s">
        <v>248</v>
      </c>
      <c r="D29" s="27">
        <v>1556</v>
      </c>
      <c r="E29" s="44"/>
      <c r="F29" s="60">
        <v>42704</v>
      </c>
      <c r="G29" s="38" t="s">
        <v>29</v>
      </c>
      <c r="H29" s="28">
        <f t="shared" si="0"/>
        <v>2016</v>
      </c>
      <c r="I29" s="80"/>
    </row>
    <row r="30" spans="1:9" hidden="1">
      <c r="A30" s="43">
        <v>8064</v>
      </c>
      <c r="B30" s="26" t="s">
        <v>271</v>
      </c>
      <c r="C30" s="27" t="s">
        <v>248</v>
      </c>
      <c r="D30" s="27">
        <v>2334</v>
      </c>
      <c r="E30" s="44"/>
      <c r="F30" s="60">
        <v>42704</v>
      </c>
      <c r="G30" s="38" t="s">
        <v>29</v>
      </c>
      <c r="H30" s="28">
        <f t="shared" si="0"/>
        <v>2016</v>
      </c>
      <c r="I30" s="80"/>
    </row>
    <row r="31" spans="1:9" hidden="1">
      <c r="A31" s="43">
        <v>8065</v>
      </c>
      <c r="B31" s="26" t="s">
        <v>272</v>
      </c>
      <c r="C31" s="27" t="s">
        <v>248</v>
      </c>
      <c r="D31" s="27">
        <v>3112</v>
      </c>
      <c r="E31" s="44"/>
      <c r="F31" s="60">
        <v>42929</v>
      </c>
      <c r="G31" s="38" t="s">
        <v>29</v>
      </c>
      <c r="H31" s="28">
        <f t="shared" si="0"/>
        <v>2017</v>
      </c>
      <c r="I31" s="80"/>
    </row>
    <row r="32" spans="1:9" hidden="1">
      <c r="A32" s="43">
        <v>8066</v>
      </c>
      <c r="B32" s="26" t="s">
        <v>273</v>
      </c>
      <c r="C32" s="27" t="s">
        <v>248</v>
      </c>
      <c r="D32" s="27">
        <v>4668</v>
      </c>
      <c r="E32" s="44"/>
      <c r="F32" s="60">
        <v>43312</v>
      </c>
      <c r="G32" s="38" t="s">
        <v>29</v>
      </c>
      <c r="H32" s="28">
        <f t="shared" si="0"/>
        <v>2018</v>
      </c>
      <c r="I32" s="80"/>
    </row>
    <row r="33" spans="1:9" hidden="1">
      <c r="A33" s="43">
        <v>8067</v>
      </c>
      <c r="B33" s="26" t="s">
        <v>274</v>
      </c>
      <c r="C33" s="27" t="s">
        <v>248</v>
      </c>
      <c r="D33" s="27">
        <v>3890</v>
      </c>
      <c r="E33" s="44"/>
      <c r="F33" s="60">
        <v>42377</v>
      </c>
      <c r="G33" s="38" t="s">
        <v>29</v>
      </c>
      <c r="H33" s="28">
        <f t="shared" si="0"/>
        <v>2016</v>
      </c>
      <c r="I33" s="80"/>
    </row>
    <row r="34" spans="1:9" hidden="1">
      <c r="A34" s="43">
        <v>8068</v>
      </c>
      <c r="B34" s="26" t="s">
        <v>275</v>
      </c>
      <c r="C34" s="27" t="s">
        <v>248</v>
      </c>
      <c r="D34" s="27">
        <v>4668</v>
      </c>
      <c r="E34" s="44"/>
      <c r="F34" s="60">
        <v>42937</v>
      </c>
      <c r="G34" s="38" t="s">
        <v>29</v>
      </c>
      <c r="H34" s="28">
        <f t="shared" si="0"/>
        <v>2017</v>
      </c>
      <c r="I34" s="80"/>
    </row>
    <row r="35" spans="1:9" hidden="1">
      <c r="A35" s="43">
        <v>8069</v>
      </c>
      <c r="B35" s="26" t="s">
        <v>276</v>
      </c>
      <c r="C35" s="27" t="s">
        <v>248</v>
      </c>
      <c r="D35" s="27">
        <v>3112</v>
      </c>
      <c r="E35" s="44"/>
      <c r="F35" s="60">
        <v>43108</v>
      </c>
      <c r="G35" s="38" t="s">
        <v>29</v>
      </c>
      <c r="H35" s="28">
        <f t="shared" si="0"/>
        <v>2018</v>
      </c>
      <c r="I35" s="80"/>
    </row>
    <row r="36" spans="1:9" hidden="1">
      <c r="A36" s="43">
        <v>8070</v>
      </c>
      <c r="B36" s="26" t="s">
        <v>277</v>
      </c>
      <c r="C36" s="27" t="s">
        <v>248</v>
      </c>
      <c r="D36" s="27">
        <v>1556</v>
      </c>
      <c r="E36" s="44"/>
      <c r="F36" s="60">
        <v>42704</v>
      </c>
      <c r="G36" s="38" t="s">
        <v>29</v>
      </c>
      <c r="H36" s="28">
        <f t="shared" si="0"/>
        <v>2016</v>
      </c>
      <c r="I36" s="80"/>
    </row>
    <row r="37" spans="1:9" hidden="1">
      <c r="A37" s="43">
        <v>8071</v>
      </c>
      <c r="B37" s="26" t="s">
        <v>278</v>
      </c>
      <c r="C37" s="27" t="s">
        <v>248</v>
      </c>
      <c r="D37" s="27">
        <v>3890</v>
      </c>
      <c r="E37" s="44"/>
      <c r="F37" s="60">
        <v>42937</v>
      </c>
      <c r="G37" s="38" t="s">
        <v>29</v>
      </c>
      <c r="H37" s="28">
        <f t="shared" si="0"/>
        <v>2017</v>
      </c>
      <c r="I37" s="80"/>
    </row>
    <row r="38" spans="1:9" hidden="1">
      <c r="A38" s="43">
        <v>8072</v>
      </c>
      <c r="B38" s="26" t="s">
        <v>255</v>
      </c>
      <c r="C38" s="27" t="s">
        <v>253</v>
      </c>
      <c r="D38" s="27">
        <v>1330</v>
      </c>
      <c r="E38" s="44"/>
      <c r="F38" s="60">
        <v>42735</v>
      </c>
      <c r="G38" s="38" t="s">
        <v>29</v>
      </c>
      <c r="H38" s="28">
        <f t="shared" si="0"/>
        <v>2016</v>
      </c>
      <c r="I38" s="80"/>
    </row>
    <row r="39" spans="1:9" hidden="1">
      <c r="A39" s="43">
        <v>8073</v>
      </c>
      <c r="B39" s="26" t="s">
        <v>257</v>
      </c>
      <c r="C39" s="27" t="s">
        <v>253</v>
      </c>
      <c r="D39" s="27">
        <v>362</v>
      </c>
      <c r="E39" s="44"/>
      <c r="F39" s="60">
        <v>42937</v>
      </c>
      <c r="G39" s="38" t="s">
        <v>29</v>
      </c>
      <c r="H39" s="28">
        <f t="shared" si="0"/>
        <v>2017</v>
      </c>
      <c r="I39" s="80"/>
    </row>
    <row r="40" spans="1:9" hidden="1">
      <c r="A40" s="43">
        <v>8074</v>
      </c>
      <c r="B40" s="26" t="s">
        <v>258</v>
      </c>
      <c r="C40" s="27" t="s">
        <v>253</v>
      </c>
      <c r="D40" s="27">
        <v>1140</v>
      </c>
      <c r="E40" s="44"/>
      <c r="F40" s="60">
        <v>42735</v>
      </c>
      <c r="G40" s="38" t="s">
        <v>29</v>
      </c>
      <c r="H40" s="28">
        <f t="shared" si="0"/>
        <v>2016</v>
      </c>
      <c r="I40" s="80"/>
    </row>
    <row r="41" spans="1:9" hidden="1">
      <c r="A41" s="43">
        <v>8075</v>
      </c>
      <c r="B41" s="26" t="s">
        <v>187</v>
      </c>
      <c r="C41" s="27" t="s">
        <v>267</v>
      </c>
      <c r="D41" s="27">
        <v>1862</v>
      </c>
      <c r="E41" s="44"/>
      <c r="F41" s="60">
        <v>42735</v>
      </c>
      <c r="G41" s="38" t="s">
        <v>29</v>
      </c>
      <c r="H41" s="28">
        <f t="shared" si="0"/>
        <v>2016</v>
      </c>
      <c r="I41" s="80"/>
    </row>
    <row r="42" spans="1:9" hidden="1">
      <c r="A42" s="43">
        <v>8076</v>
      </c>
      <c r="B42" s="26" t="s">
        <v>259</v>
      </c>
      <c r="C42" s="27" t="s">
        <v>253</v>
      </c>
      <c r="D42" s="27">
        <v>1140</v>
      </c>
      <c r="E42" s="44"/>
      <c r="F42" s="60">
        <v>42929</v>
      </c>
      <c r="G42" s="38" t="s">
        <v>29</v>
      </c>
      <c r="H42" s="28">
        <f t="shared" si="0"/>
        <v>2017</v>
      </c>
      <c r="I42" s="80"/>
    </row>
    <row r="43" spans="1:9" hidden="1">
      <c r="A43" s="43">
        <v>8077</v>
      </c>
      <c r="B43" s="26" t="s">
        <v>279</v>
      </c>
      <c r="C43" s="27" t="s">
        <v>248</v>
      </c>
      <c r="D43" s="27">
        <v>3112</v>
      </c>
      <c r="E43" s="44"/>
      <c r="F43" s="60">
        <v>42816</v>
      </c>
      <c r="G43" s="38" t="s">
        <v>29</v>
      </c>
      <c r="H43" s="28">
        <f t="shared" si="0"/>
        <v>2017</v>
      </c>
      <c r="I43" s="80"/>
    </row>
    <row r="44" spans="1:9" hidden="1">
      <c r="A44" s="43">
        <v>8078</v>
      </c>
      <c r="B44" s="26" t="s">
        <v>280</v>
      </c>
      <c r="C44" s="27" t="s">
        <v>248</v>
      </c>
      <c r="D44" s="27">
        <v>2334</v>
      </c>
      <c r="E44" s="44"/>
      <c r="F44" s="60">
        <v>42816</v>
      </c>
      <c r="G44" s="38" t="s">
        <v>29</v>
      </c>
      <c r="H44" s="28">
        <f t="shared" si="0"/>
        <v>2017</v>
      </c>
      <c r="I44" s="80"/>
    </row>
    <row r="45" spans="1:9" hidden="1">
      <c r="A45" s="43">
        <v>8079</v>
      </c>
      <c r="B45" s="26" t="s">
        <v>281</v>
      </c>
      <c r="C45" s="27" t="s">
        <v>248</v>
      </c>
      <c r="D45" s="27">
        <v>3112</v>
      </c>
      <c r="E45" s="44"/>
      <c r="F45" s="60">
        <v>42899</v>
      </c>
      <c r="G45" s="38" t="s">
        <v>29</v>
      </c>
      <c r="H45" s="28">
        <f t="shared" si="0"/>
        <v>2017</v>
      </c>
      <c r="I45" s="80"/>
    </row>
    <row r="46" spans="1:9" hidden="1">
      <c r="A46" s="43">
        <v>8080</v>
      </c>
      <c r="B46" s="26" t="s">
        <v>282</v>
      </c>
      <c r="C46" s="27" t="s">
        <v>248</v>
      </c>
      <c r="D46" s="27">
        <v>3112</v>
      </c>
      <c r="E46" s="44"/>
      <c r="F46" s="60">
        <v>42899</v>
      </c>
      <c r="G46" s="38" t="s">
        <v>29</v>
      </c>
      <c r="H46" s="28">
        <f t="shared" si="0"/>
        <v>2017</v>
      </c>
      <c r="I46" s="80"/>
    </row>
    <row r="47" spans="1:9" hidden="1">
      <c r="A47" s="43">
        <v>8081</v>
      </c>
      <c r="B47" s="26" t="s">
        <v>283</v>
      </c>
      <c r="C47" s="27" t="s">
        <v>248</v>
      </c>
      <c r="D47" s="27">
        <v>2334</v>
      </c>
      <c r="E47" s="44"/>
      <c r="F47" s="60">
        <v>42899</v>
      </c>
      <c r="G47" s="38" t="s">
        <v>29</v>
      </c>
      <c r="H47" s="28">
        <f t="shared" si="0"/>
        <v>2017</v>
      </c>
      <c r="I47" s="80"/>
    </row>
    <row r="48" spans="1:9" hidden="1">
      <c r="A48" s="43">
        <v>8082</v>
      </c>
      <c r="B48" s="26" t="s">
        <v>284</v>
      </c>
      <c r="C48" s="27" t="s">
        <v>248</v>
      </c>
      <c r="D48" s="27">
        <v>3112</v>
      </c>
      <c r="E48" s="44"/>
      <c r="F48" s="60">
        <v>42899</v>
      </c>
      <c r="G48" s="38" t="s">
        <v>29</v>
      </c>
      <c r="H48" s="28">
        <f t="shared" si="0"/>
        <v>2017</v>
      </c>
      <c r="I48" s="80"/>
    </row>
    <row r="49" spans="1:9" hidden="1">
      <c r="A49" s="43">
        <v>8083</v>
      </c>
      <c r="B49" s="26" t="s">
        <v>285</v>
      </c>
      <c r="C49" s="27" t="s">
        <v>248</v>
      </c>
      <c r="D49" s="27">
        <v>3112</v>
      </c>
      <c r="E49" s="44"/>
      <c r="F49" s="60">
        <v>42899</v>
      </c>
      <c r="G49" s="38" t="s">
        <v>29</v>
      </c>
      <c r="H49" s="28">
        <f t="shared" si="0"/>
        <v>2017</v>
      </c>
      <c r="I49" s="80"/>
    </row>
    <row r="50" spans="1:9" hidden="1">
      <c r="A50" s="43">
        <v>8084</v>
      </c>
      <c r="B50" s="26" t="s">
        <v>260</v>
      </c>
      <c r="C50" s="27" t="s">
        <v>253</v>
      </c>
      <c r="D50" s="27">
        <v>1140</v>
      </c>
      <c r="E50" s="44"/>
      <c r="F50" s="60">
        <v>42899</v>
      </c>
      <c r="G50" s="38" t="s">
        <v>29</v>
      </c>
      <c r="H50" s="28">
        <f t="shared" si="0"/>
        <v>2017</v>
      </c>
      <c r="I50" s="80"/>
    </row>
    <row r="51" spans="1:9" hidden="1">
      <c r="A51" s="43">
        <v>8085</v>
      </c>
      <c r="B51" s="26" t="s">
        <v>261</v>
      </c>
      <c r="C51" s="27" t="s">
        <v>253</v>
      </c>
      <c r="D51" s="27">
        <v>1368</v>
      </c>
      <c r="E51" s="44"/>
      <c r="F51" s="60">
        <v>42899</v>
      </c>
      <c r="G51" s="38" t="s">
        <v>29</v>
      </c>
      <c r="H51" s="28">
        <f t="shared" si="0"/>
        <v>2017</v>
      </c>
      <c r="I51" s="80"/>
    </row>
    <row r="52" spans="1:9" hidden="1">
      <c r="A52" s="43">
        <v>8086</v>
      </c>
      <c r="B52" s="26" t="s">
        <v>286</v>
      </c>
      <c r="C52" s="27" t="s">
        <v>248</v>
      </c>
      <c r="D52" s="27">
        <v>4668</v>
      </c>
      <c r="E52" s="44"/>
      <c r="F52" s="60">
        <v>42944</v>
      </c>
      <c r="G52" s="38" t="s">
        <v>29</v>
      </c>
      <c r="H52" s="28">
        <f t="shared" si="0"/>
        <v>2017</v>
      </c>
      <c r="I52" s="80"/>
    </row>
    <row r="53" spans="1:9" hidden="1">
      <c r="A53" s="43">
        <v>8087</v>
      </c>
      <c r="B53" s="26" t="s">
        <v>287</v>
      </c>
      <c r="C53" s="27" t="s">
        <v>248</v>
      </c>
      <c r="D53" s="27">
        <v>3112</v>
      </c>
      <c r="E53" s="44"/>
      <c r="F53" s="60">
        <v>43289</v>
      </c>
      <c r="G53" s="38" t="s">
        <v>29</v>
      </c>
      <c r="H53" s="28">
        <f t="shared" si="0"/>
        <v>2018</v>
      </c>
      <c r="I53" s="80"/>
    </row>
    <row r="54" spans="1:9" hidden="1">
      <c r="A54" s="43">
        <v>8088</v>
      </c>
      <c r="B54" s="26" t="s">
        <v>288</v>
      </c>
      <c r="C54" s="27" t="s">
        <v>248</v>
      </c>
      <c r="D54" s="27">
        <v>2334</v>
      </c>
      <c r="E54" s="44"/>
      <c r="F54" s="60">
        <v>43289</v>
      </c>
      <c r="G54" s="38" t="s">
        <v>29</v>
      </c>
      <c r="H54" s="28">
        <f t="shared" si="0"/>
        <v>2018</v>
      </c>
      <c r="I54" s="80"/>
    </row>
    <row r="55" spans="1:9" hidden="1">
      <c r="A55" s="43">
        <v>8090</v>
      </c>
      <c r="B55" s="26" t="s">
        <v>289</v>
      </c>
      <c r="C55" s="27" t="s">
        <v>248</v>
      </c>
      <c r="D55" s="27">
        <v>3112</v>
      </c>
      <c r="E55" s="44"/>
      <c r="F55" s="60">
        <v>42963</v>
      </c>
      <c r="G55" s="38" t="s">
        <v>29</v>
      </c>
      <c r="H55" s="28">
        <f t="shared" ref="H55:H118" si="1">YEAR(F55)</f>
        <v>2017</v>
      </c>
      <c r="I55" s="80"/>
    </row>
    <row r="56" spans="1:9" hidden="1">
      <c r="A56" s="43">
        <v>8091</v>
      </c>
      <c r="B56" s="26" t="s">
        <v>290</v>
      </c>
      <c r="C56" s="27" t="s">
        <v>248</v>
      </c>
      <c r="D56" s="27">
        <v>4668</v>
      </c>
      <c r="E56" s="44"/>
      <c r="F56" s="60">
        <v>42963</v>
      </c>
      <c r="G56" s="38" t="s">
        <v>29</v>
      </c>
      <c r="H56" s="28">
        <f t="shared" si="1"/>
        <v>2017</v>
      </c>
      <c r="I56" s="80"/>
    </row>
    <row r="57" spans="1:9" hidden="1">
      <c r="A57" s="43">
        <v>8092</v>
      </c>
      <c r="B57" s="26" t="s">
        <v>291</v>
      </c>
      <c r="C57" s="27" t="s">
        <v>248</v>
      </c>
      <c r="D57" s="27">
        <v>4668</v>
      </c>
      <c r="E57" s="44"/>
      <c r="F57" s="60">
        <v>42963</v>
      </c>
      <c r="G57" s="38" t="s">
        <v>29</v>
      </c>
      <c r="H57" s="28">
        <f t="shared" si="1"/>
        <v>2017</v>
      </c>
      <c r="I57" s="80"/>
    </row>
    <row r="58" spans="1:9" hidden="1">
      <c r="A58" s="43">
        <v>8093</v>
      </c>
      <c r="B58" s="26" t="s">
        <v>292</v>
      </c>
      <c r="C58" s="27" t="s">
        <v>248</v>
      </c>
      <c r="D58" s="27">
        <v>3112</v>
      </c>
      <c r="E58" s="44"/>
      <c r="F58" s="60">
        <v>42963</v>
      </c>
      <c r="G58" s="38" t="s">
        <v>29</v>
      </c>
      <c r="H58" s="28">
        <f t="shared" si="1"/>
        <v>2017</v>
      </c>
      <c r="I58" s="80"/>
    </row>
    <row r="59" spans="1:9" hidden="1">
      <c r="A59" s="43">
        <v>8094</v>
      </c>
      <c r="B59" s="26" t="s">
        <v>215</v>
      </c>
      <c r="C59" s="27" t="s">
        <v>248</v>
      </c>
      <c r="D59" s="27">
        <v>5446</v>
      </c>
      <c r="E59" s="44"/>
      <c r="F59" s="60">
        <v>43021</v>
      </c>
      <c r="G59" s="38" t="s">
        <v>29</v>
      </c>
      <c r="H59" s="28">
        <f t="shared" si="1"/>
        <v>2017</v>
      </c>
      <c r="I59" s="80"/>
    </row>
    <row r="60" spans="1:9" hidden="1">
      <c r="A60" s="43">
        <v>8095</v>
      </c>
      <c r="B60" s="26" t="s">
        <v>187</v>
      </c>
      <c r="C60" s="27" t="s">
        <v>293</v>
      </c>
      <c r="D60" s="27">
        <v>1596</v>
      </c>
      <c r="E60" s="44"/>
      <c r="F60" s="60">
        <v>43021</v>
      </c>
      <c r="G60" s="38" t="s">
        <v>29</v>
      </c>
      <c r="H60" s="28">
        <f t="shared" si="1"/>
        <v>2017</v>
      </c>
      <c r="I60" s="80"/>
    </row>
    <row r="61" spans="1:9" hidden="1">
      <c r="A61" s="43">
        <v>8096</v>
      </c>
      <c r="B61" s="26" t="s">
        <v>252</v>
      </c>
      <c r="C61" s="27" t="s">
        <v>294</v>
      </c>
      <c r="D61" s="27">
        <v>912</v>
      </c>
      <c r="E61" s="44"/>
      <c r="F61" s="60">
        <v>43021</v>
      </c>
      <c r="G61" s="38" t="s">
        <v>29</v>
      </c>
      <c r="H61" s="28">
        <f t="shared" si="1"/>
        <v>2017</v>
      </c>
      <c r="I61" s="80"/>
    </row>
    <row r="62" spans="1:9" hidden="1">
      <c r="A62" s="43">
        <v>8097</v>
      </c>
      <c r="B62" s="26" t="s">
        <v>254</v>
      </c>
      <c r="C62" s="27" t="s">
        <v>267</v>
      </c>
      <c r="D62" s="27">
        <v>1398</v>
      </c>
      <c r="E62" s="44"/>
      <c r="F62" s="60">
        <v>43027</v>
      </c>
      <c r="G62" s="38" t="s">
        <v>29</v>
      </c>
      <c r="H62" s="28">
        <f t="shared" si="1"/>
        <v>2017</v>
      </c>
      <c r="I62" s="80"/>
    </row>
    <row r="63" spans="1:9" hidden="1">
      <c r="A63" s="43">
        <v>8098</v>
      </c>
      <c r="B63" s="26" t="s">
        <v>255</v>
      </c>
      <c r="C63" s="27" t="s">
        <v>267</v>
      </c>
      <c r="D63" s="27">
        <v>1140</v>
      </c>
      <c r="E63" s="44"/>
      <c r="F63" s="60">
        <v>43027</v>
      </c>
      <c r="G63" s="38" t="s">
        <v>29</v>
      </c>
      <c r="H63" s="28">
        <f t="shared" si="1"/>
        <v>2017</v>
      </c>
      <c r="I63" s="80"/>
    </row>
    <row r="64" spans="1:9" hidden="1">
      <c r="A64" s="43">
        <v>8099</v>
      </c>
      <c r="B64" s="26" t="s">
        <v>262</v>
      </c>
      <c r="C64" s="27" t="s">
        <v>253</v>
      </c>
      <c r="D64" s="27">
        <v>912</v>
      </c>
      <c r="E64" s="44"/>
      <c r="F64" s="60">
        <v>43027</v>
      </c>
      <c r="G64" s="38" t="s">
        <v>29</v>
      </c>
      <c r="H64" s="28">
        <f t="shared" si="1"/>
        <v>2017</v>
      </c>
      <c r="I64" s="80"/>
    </row>
    <row r="65" spans="1:9" hidden="1">
      <c r="A65" s="43">
        <v>8100</v>
      </c>
      <c r="B65" s="26" t="s">
        <v>263</v>
      </c>
      <c r="C65" s="27" t="s">
        <v>253</v>
      </c>
      <c r="D65" s="27">
        <v>684</v>
      </c>
      <c r="E65" s="44"/>
      <c r="F65" s="60">
        <v>43027</v>
      </c>
      <c r="G65" s="38" t="s">
        <v>29</v>
      </c>
      <c r="H65" s="28">
        <f t="shared" si="1"/>
        <v>2017</v>
      </c>
      <c r="I65" s="80"/>
    </row>
    <row r="66" spans="1:9" hidden="1">
      <c r="A66" s="43">
        <v>8101</v>
      </c>
      <c r="B66" s="26" t="s">
        <v>264</v>
      </c>
      <c r="C66" s="27" t="s">
        <v>253</v>
      </c>
      <c r="D66" s="27">
        <v>1596</v>
      </c>
      <c r="E66" s="44"/>
      <c r="F66" s="60">
        <v>43027</v>
      </c>
      <c r="G66" s="38" t="s">
        <v>29</v>
      </c>
      <c r="H66" s="28">
        <f t="shared" si="1"/>
        <v>2017</v>
      </c>
      <c r="I66" s="80"/>
    </row>
    <row r="67" spans="1:9" hidden="1">
      <c r="A67" s="43">
        <v>8102</v>
      </c>
      <c r="B67" s="26" t="s">
        <v>265</v>
      </c>
      <c r="C67" s="27" t="s">
        <v>253</v>
      </c>
      <c r="D67" s="27">
        <v>1140</v>
      </c>
      <c r="E67" s="44"/>
      <c r="F67" s="60">
        <v>43027</v>
      </c>
      <c r="G67" s="38" t="s">
        <v>29</v>
      </c>
      <c r="H67" s="28">
        <f t="shared" si="1"/>
        <v>2017</v>
      </c>
      <c r="I67" s="80"/>
    </row>
    <row r="68" spans="1:9" hidden="1">
      <c r="A68" s="43">
        <v>8103</v>
      </c>
      <c r="B68" s="26" t="s">
        <v>266</v>
      </c>
      <c r="C68" s="27" t="s">
        <v>253</v>
      </c>
      <c r="D68" s="27">
        <v>228</v>
      </c>
      <c r="E68" s="44"/>
      <c r="F68" s="60">
        <v>43027</v>
      </c>
      <c r="G68" s="38" t="s">
        <v>29</v>
      </c>
      <c r="H68" s="28">
        <f t="shared" si="1"/>
        <v>2017</v>
      </c>
      <c r="I68" s="80"/>
    </row>
    <row r="69" spans="1:9" hidden="1">
      <c r="A69" s="43">
        <v>8104</v>
      </c>
      <c r="B69" s="26" t="s">
        <v>268</v>
      </c>
      <c r="C69" s="27" t="s">
        <v>253</v>
      </c>
      <c r="D69" s="27">
        <v>912</v>
      </c>
      <c r="E69" s="44"/>
      <c r="F69" s="60">
        <v>43027</v>
      </c>
      <c r="G69" s="38" t="s">
        <v>29</v>
      </c>
      <c r="H69" s="28">
        <f t="shared" si="1"/>
        <v>2017</v>
      </c>
      <c r="I69" s="80"/>
    </row>
    <row r="70" spans="1:9" hidden="1">
      <c r="A70" s="43">
        <v>8106</v>
      </c>
      <c r="B70" s="26" t="s">
        <v>271</v>
      </c>
      <c r="C70" s="27" t="s">
        <v>253</v>
      </c>
      <c r="D70" s="27">
        <v>684</v>
      </c>
      <c r="E70" s="44"/>
      <c r="F70" s="60">
        <v>43027</v>
      </c>
      <c r="G70" s="38" t="s">
        <v>29</v>
      </c>
      <c r="H70" s="28">
        <f t="shared" si="1"/>
        <v>2017</v>
      </c>
      <c r="I70" s="80"/>
    </row>
    <row r="71" spans="1:9" hidden="1">
      <c r="A71" s="43">
        <v>8108</v>
      </c>
      <c r="B71" s="26" t="s">
        <v>295</v>
      </c>
      <c r="C71" s="27" t="s">
        <v>248</v>
      </c>
      <c r="D71" s="27">
        <v>3890</v>
      </c>
      <c r="E71" s="44"/>
      <c r="F71" s="60">
        <v>43405</v>
      </c>
      <c r="G71" s="38" t="s">
        <v>29</v>
      </c>
      <c r="H71" s="28">
        <f t="shared" si="1"/>
        <v>2018</v>
      </c>
      <c r="I71" s="80"/>
    </row>
    <row r="72" spans="1:9" hidden="1">
      <c r="A72" s="43">
        <v>8109</v>
      </c>
      <c r="B72" s="26" t="s">
        <v>296</v>
      </c>
      <c r="C72" s="27" t="s">
        <v>248</v>
      </c>
      <c r="D72" s="27">
        <v>3890</v>
      </c>
      <c r="E72" s="44"/>
      <c r="F72" s="60">
        <v>43405</v>
      </c>
      <c r="G72" s="38" t="s">
        <v>29</v>
      </c>
      <c r="H72" s="28">
        <f t="shared" si="1"/>
        <v>2018</v>
      </c>
      <c r="I72" s="80"/>
    </row>
    <row r="73" spans="1:9" hidden="1">
      <c r="A73" s="43">
        <v>8110</v>
      </c>
      <c r="B73" s="26" t="s">
        <v>209</v>
      </c>
      <c r="C73" s="27" t="s">
        <v>248</v>
      </c>
      <c r="D73" s="27">
        <v>12448</v>
      </c>
      <c r="E73" s="44"/>
      <c r="F73" s="60">
        <v>43311</v>
      </c>
      <c r="G73" s="38" t="s">
        <v>29</v>
      </c>
      <c r="H73" s="28">
        <f t="shared" si="1"/>
        <v>2018</v>
      </c>
      <c r="I73" s="80"/>
    </row>
    <row r="74" spans="1:9" hidden="1">
      <c r="A74" s="43">
        <v>8111</v>
      </c>
      <c r="B74" s="26" t="s">
        <v>213</v>
      </c>
      <c r="C74" s="27" t="s">
        <v>248</v>
      </c>
      <c r="D74" s="27">
        <v>7780</v>
      </c>
      <c r="E74" s="44"/>
      <c r="F74" s="60">
        <v>43164</v>
      </c>
      <c r="G74" s="38" t="s">
        <v>29</v>
      </c>
      <c r="H74" s="28">
        <f t="shared" si="1"/>
        <v>2018</v>
      </c>
      <c r="I74" s="80"/>
    </row>
    <row r="75" spans="1:9" hidden="1">
      <c r="A75" s="43">
        <v>8112</v>
      </c>
      <c r="B75" s="26" t="s">
        <v>297</v>
      </c>
      <c r="C75" s="27" t="s">
        <v>248</v>
      </c>
      <c r="D75" s="27">
        <v>3112</v>
      </c>
      <c r="E75" s="44"/>
      <c r="F75" s="60">
        <v>43213</v>
      </c>
      <c r="G75" s="38" t="s">
        <v>29</v>
      </c>
      <c r="H75" s="28">
        <f t="shared" si="1"/>
        <v>2018</v>
      </c>
      <c r="I75" s="80"/>
    </row>
    <row r="76" spans="1:9" hidden="1">
      <c r="A76" s="43">
        <v>8113</v>
      </c>
      <c r="B76" s="26" t="s">
        <v>298</v>
      </c>
      <c r="C76" s="27" t="s">
        <v>248</v>
      </c>
      <c r="D76" s="27">
        <v>2334</v>
      </c>
      <c r="E76" s="44"/>
      <c r="F76" s="60">
        <v>43213</v>
      </c>
      <c r="G76" s="38" t="s">
        <v>29</v>
      </c>
      <c r="H76" s="28">
        <f t="shared" si="1"/>
        <v>2018</v>
      </c>
      <c r="I76" s="80"/>
    </row>
    <row r="77" spans="1:9" hidden="1">
      <c r="A77" s="43">
        <v>8114</v>
      </c>
      <c r="B77" s="26" t="s">
        <v>299</v>
      </c>
      <c r="C77" s="27" t="s">
        <v>248</v>
      </c>
      <c r="D77" s="27">
        <v>3112</v>
      </c>
      <c r="E77" s="44"/>
      <c r="F77" s="60">
        <v>43213</v>
      </c>
      <c r="G77" s="38" t="s">
        <v>29</v>
      </c>
      <c r="H77" s="28">
        <f t="shared" si="1"/>
        <v>2018</v>
      </c>
      <c r="I77" s="80"/>
    </row>
    <row r="78" spans="1:9" hidden="1">
      <c r="A78" s="43">
        <v>8115</v>
      </c>
      <c r="B78" s="26" t="s">
        <v>300</v>
      </c>
      <c r="C78" s="27" t="s">
        <v>248</v>
      </c>
      <c r="D78" s="27">
        <v>3112</v>
      </c>
      <c r="E78" s="44"/>
      <c r="F78" s="60">
        <v>43405</v>
      </c>
      <c r="G78" s="38" t="s">
        <v>29</v>
      </c>
      <c r="H78" s="28">
        <f t="shared" si="1"/>
        <v>2018</v>
      </c>
      <c r="I78" s="80"/>
    </row>
    <row r="79" spans="1:9" hidden="1">
      <c r="A79" s="43">
        <v>8116</v>
      </c>
      <c r="B79" s="26" t="s">
        <v>269</v>
      </c>
      <c r="C79" s="27" t="s">
        <v>253</v>
      </c>
      <c r="D79" s="27">
        <v>912</v>
      </c>
      <c r="E79" s="44"/>
      <c r="F79" s="60">
        <v>43408</v>
      </c>
      <c r="G79" s="38" t="s">
        <v>29</v>
      </c>
      <c r="H79" s="28">
        <f t="shared" si="1"/>
        <v>2018</v>
      </c>
      <c r="I79" s="80"/>
    </row>
    <row r="80" spans="1:9" hidden="1">
      <c r="A80" s="43">
        <v>8117</v>
      </c>
      <c r="B80" s="26" t="s">
        <v>270</v>
      </c>
      <c r="C80" s="27" t="s">
        <v>253</v>
      </c>
      <c r="D80" s="27">
        <v>456</v>
      </c>
      <c r="E80" s="44"/>
      <c r="F80" s="60">
        <v>43408</v>
      </c>
      <c r="G80" s="38" t="s">
        <v>29</v>
      </c>
      <c r="H80" s="28">
        <f t="shared" si="1"/>
        <v>2018</v>
      </c>
      <c r="I80" s="80"/>
    </row>
    <row r="81" spans="1:9" hidden="1">
      <c r="A81" s="43">
        <v>8118</v>
      </c>
      <c r="B81" s="26" t="s">
        <v>272</v>
      </c>
      <c r="C81" s="27" t="s">
        <v>253</v>
      </c>
      <c r="D81" s="27">
        <v>912</v>
      </c>
      <c r="E81" s="44"/>
      <c r="F81" s="60">
        <v>43408</v>
      </c>
      <c r="G81" s="38" t="s">
        <v>29</v>
      </c>
      <c r="H81" s="28">
        <f t="shared" si="1"/>
        <v>2018</v>
      </c>
      <c r="I81" s="80"/>
    </row>
    <row r="82" spans="1:9" hidden="1">
      <c r="A82" s="43">
        <v>8119</v>
      </c>
      <c r="B82" s="26" t="s">
        <v>273</v>
      </c>
      <c r="C82" s="27" t="s">
        <v>253</v>
      </c>
      <c r="D82" s="27">
        <v>1368</v>
      </c>
      <c r="E82" s="44"/>
      <c r="F82" s="60">
        <v>43408</v>
      </c>
      <c r="G82" s="38" t="s">
        <v>29</v>
      </c>
      <c r="H82" s="28">
        <f t="shared" si="1"/>
        <v>2018</v>
      </c>
      <c r="I82" s="80"/>
    </row>
    <row r="83" spans="1:9" hidden="1">
      <c r="A83" s="43">
        <v>8120</v>
      </c>
      <c r="B83" s="26" t="s">
        <v>274</v>
      </c>
      <c r="C83" s="27" t="s">
        <v>253</v>
      </c>
      <c r="D83" s="27">
        <v>1140</v>
      </c>
      <c r="E83" s="44"/>
      <c r="F83" s="60">
        <v>43408</v>
      </c>
      <c r="G83" s="38" t="s">
        <v>29</v>
      </c>
      <c r="H83" s="28">
        <f t="shared" si="1"/>
        <v>2018</v>
      </c>
      <c r="I83" s="80"/>
    </row>
    <row r="84" spans="1:9" hidden="1">
      <c r="A84" s="43">
        <v>8121</v>
      </c>
      <c r="B84" s="26" t="s">
        <v>275</v>
      </c>
      <c r="C84" s="27" t="s">
        <v>253</v>
      </c>
      <c r="D84" s="27">
        <v>1368</v>
      </c>
      <c r="E84" s="44"/>
      <c r="F84" s="60">
        <v>43408</v>
      </c>
      <c r="G84" s="38" t="s">
        <v>29</v>
      </c>
      <c r="H84" s="28">
        <f t="shared" si="1"/>
        <v>2018</v>
      </c>
      <c r="I84" s="80"/>
    </row>
    <row r="85" spans="1:9" hidden="1">
      <c r="A85" s="43">
        <v>8122</v>
      </c>
      <c r="B85" s="26" t="s">
        <v>276</v>
      </c>
      <c r="C85" s="32" t="s">
        <v>253</v>
      </c>
      <c r="D85" s="27">
        <v>912</v>
      </c>
      <c r="E85" s="44"/>
      <c r="F85" s="60">
        <v>43408</v>
      </c>
      <c r="G85" s="38" t="s">
        <v>29</v>
      </c>
      <c r="H85" s="28">
        <f t="shared" si="1"/>
        <v>2018</v>
      </c>
      <c r="I85" s="80"/>
    </row>
    <row r="86" spans="1:9" hidden="1">
      <c r="A86" s="43">
        <v>8123</v>
      </c>
      <c r="B86" s="26" t="s">
        <v>257</v>
      </c>
      <c r="C86" s="32" t="s">
        <v>267</v>
      </c>
      <c r="D86" s="27">
        <v>1140</v>
      </c>
      <c r="E86" s="44"/>
      <c r="F86" s="60">
        <v>43408</v>
      </c>
      <c r="G86" s="38" t="s">
        <v>29</v>
      </c>
      <c r="H86" s="28">
        <f t="shared" si="1"/>
        <v>2018</v>
      </c>
      <c r="I86" s="116"/>
    </row>
    <row r="87" spans="1:9" hidden="1">
      <c r="A87" s="43">
        <v>8124</v>
      </c>
      <c r="B87" s="26" t="s">
        <v>258</v>
      </c>
      <c r="C87" s="32" t="s">
        <v>267</v>
      </c>
      <c r="D87" s="27">
        <v>1140</v>
      </c>
      <c r="E87" s="44"/>
      <c r="F87" s="60">
        <v>43408</v>
      </c>
      <c r="G87" s="38" t="s">
        <v>29</v>
      </c>
      <c r="H87" s="28">
        <f t="shared" si="1"/>
        <v>2018</v>
      </c>
      <c r="I87" s="80"/>
    </row>
    <row r="88" spans="1:9" hidden="1">
      <c r="A88" s="43">
        <v>8125</v>
      </c>
      <c r="B88" s="26" t="s">
        <v>259</v>
      </c>
      <c r="C88" s="27" t="s">
        <v>267</v>
      </c>
      <c r="D88" s="27">
        <v>1140</v>
      </c>
      <c r="E88" s="44"/>
      <c r="F88" s="60">
        <v>43187</v>
      </c>
      <c r="G88" s="38" t="s">
        <v>29</v>
      </c>
      <c r="H88" s="28">
        <f t="shared" si="1"/>
        <v>2018</v>
      </c>
      <c r="I88" s="80"/>
    </row>
    <row r="89" spans="1:9" hidden="1">
      <c r="A89" s="43">
        <v>8126</v>
      </c>
      <c r="B89" s="26" t="s">
        <v>217</v>
      </c>
      <c r="C89" s="27" t="s">
        <v>248</v>
      </c>
      <c r="D89" s="27">
        <v>3890</v>
      </c>
      <c r="E89" s="44"/>
      <c r="F89" s="60">
        <v>43187</v>
      </c>
      <c r="G89" s="38" t="s">
        <v>29</v>
      </c>
      <c r="H89" s="28">
        <f t="shared" si="1"/>
        <v>2018</v>
      </c>
      <c r="I89" s="80"/>
    </row>
    <row r="90" spans="1:9" hidden="1">
      <c r="A90" s="43">
        <v>8127</v>
      </c>
      <c r="B90" s="26" t="s">
        <v>301</v>
      </c>
      <c r="C90" s="27" t="s">
        <v>248</v>
      </c>
      <c r="D90" s="27">
        <v>4668</v>
      </c>
      <c r="E90" s="44"/>
      <c r="F90" s="60">
        <v>43187</v>
      </c>
      <c r="G90" s="38" t="s">
        <v>29</v>
      </c>
      <c r="H90" s="28">
        <f t="shared" si="1"/>
        <v>2018</v>
      </c>
      <c r="I90" s="80"/>
    </row>
    <row r="91" spans="1:9" hidden="1">
      <c r="A91" s="43">
        <v>8128</v>
      </c>
      <c r="B91" s="26" t="s">
        <v>302</v>
      </c>
      <c r="C91" s="27" t="s">
        <v>248</v>
      </c>
      <c r="D91" s="27">
        <v>3890</v>
      </c>
      <c r="E91" s="44"/>
      <c r="F91" s="60">
        <v>43315</v>
      </c>
      <c r="G91" s="38" t="s">
        <v>29</v>
      </c>
      <c r="H91" s="28">
        <f t="shared" si="1"/>
        <v>2018</v>
      </c>
      <c r="I91" s="80"/>
    </row>
    <row r="92" spans="1:9" hidden="1">
      <c r="A92" s="43">
        <v>8129</v>
      </c>
      <c r="B92" s="26" t="s">
        <v>303</v>
      </c>
      <c r="C92" s="27" t="s">
        <v>248</v>
      </c>
      <c r="D92" s="27">
        <v>7780</v>
      </c>
      <c r="E92" s="44"/>
      <c r="F92" s="60">
        <v>43315</v>
      </c>
      <c r="G92" s="38" t="s">
        <v>29</v>
      </c>
      <c r="H92" s="28">
        <f t="shared" si="1"/>
        <v>2018</v>
      </c>
      <c r="I92" s="80"/>
    </row>
    <row r="93" spans="1:9" hidden="1">
      <c r="A93" s="43">
        <v>8130</v>
      </c>
      <c r="B93" s="26" t="s">
        <v>304</v>
      </c>
      <c r="C93" s="27" t="s">
        <v>248</v>
      </c>
      <c r="D93" s="27">
        <v>6224</v>
      </c>
      <c r="E93" s="44"/>
      <c r="F93" s="60">
        <v>43222</v>
      </c>
      <c r="G93" s="38" t="s">
        <v>29</v>
      </c>
      <c r="H93" s="28">
        <f t="shared" si="1"/>
        <v>2018</v>
      </c>
      <c r="I93" s="80"/>
    </row>
    <row r="94" spans="1:9" hidden="1">
      <c r="A94" s="43">
        <v>8131</v>
      </c>
      <c r="B94" s="26" t="s">
        <v>305</v>
      </c>
      <c r="C94" s="27" t="s">
        <v>248</v>
      </c>
      <c r="D94" s="27">
        <v>778</v>
      </c>
      <c r="E94" s="44"/>
      <c r="F94" s="60">
        <v>43222</v>
      </c>
      <c r="G94" s="38" t="s">
        <v>29</v>
      </c>
      <c r="H94" s="28">
        <f t="shared" si="1"/>
        <v>2018</v>
      </c>
      <c r="I94" s="80"/>
    </row>
    <row r="95" spans="1:9" hidden="1">
      <c r="A95" s="43">
        <v>8132</v>
      </c>
      <c r="B95" s="26" t="s">
        <v>277</v>
      </c>
      <c r="C95" s="27" t="s">
        <v>253</v>
      </c>
      <c r="D95" s="27">
        <v>456</v>
      </c>
      <c r="E95" s="44"/>
      <c r="F95" s="60">
        <v>43222</v>
      </c>
      <c r="G95" s="38" t="s">
        <v>29</v>
      </c>
      <c r="H95" s="28">
        <f t="shared" si="1"/>
        <v>2018</v>
      </c>
      <c r="I95" s="80"/>
    </row>
    <row r="96" spans="1:9" hidden="1">
      <c r="A96" s="43">
        <v>8133</v>
      </c>
      <c r="B96" s="26" t="s">
        <v>278</v>
      </c>
      <c r="C96" s="27" t="s">
        <v>253</v>
      </c>
      <c r="D96" s="27">
        <v>1140</v>
      </c>
      <c r="E96" s="44"/>
      <c r="F96" s="60">
        <v>43222</v>
      </c>
      <c r="G96" s="38" t="s">
        <v>29</v>
      </c>
      <c r="H96" s="28">
        <f t="shared" si="1"/>
        <v>2018</v>
      </c>
      <c r="I96" s="80"/>
    </row>
    <row r="97" spans="1:9" hidden="1">
      <c r="A97" s="43">
        <v>8134</v>
      </c>
      <c r="B97" s="26" t="s">
        <v>279</v>
      </c>
      <c r="C97" s="27" t="s">
        <v>253</v>
      </c>
      <c r="D97" s="27">
        <v>912</v>
      </c>
      <c r="E97" s="44"/>
      <c r="F97" s="60">
        <v>43222</v>
      </c>
      <c r="G97" s="38" t="s">
        <v>29</v>
      </c>
      <c r="H97" s="28">
        <f t="shared" si="1"/>
        <v>2018</v>
      </c>
      <c r="I97" s="80"/>
    </row>
    <row r="98" spans="1:9" hidden="1">
      <c r="A98" s="43">
        <v>8135</v>
      </c>
      <c r="B98" s="26" t="s">
        <v>280</v>
      </c>
      <c r="C98" s="27" t="s">
        <v>253</v>
      </c>
      <c r="D98" s="27">
        <v>684</v>
      </c>
      <c r="E98" s="44"/>
      <c r="F98" s="60">
        <v>43222</v>
      </c>
      <c r="G98" s="38" t="s">
        <v>29</v>
      </c>
      <c r="H98" s="28">
        <f t="shared" si="1"/>
        <v>2018</v>
      </c>
      <c r="I98" s="80"/>
    </row>
    <row r="99" spans="1:9" hidden="1">
      <c r="A99" s="43">
        <v>8136</v>
      </c>
      <c r="B99" s="26" t="s">
        <v>281</v>
      </c>
      <c r="C99" s="27" t="s">
        <v>253</v>
      </c>
      <c r="D99" s="27">
        <v>912</v>
      </c>
      <c r="E99" s="44"/>
      <c r="F99" s="60">
        <v>43222</v>
      </c>
      <c r="G99" s="38" t="s">
        <v>29</v>
      </c>
      <c r="H99" s="28">
        <f t="shared" si="1"/>
        <v>2018</v>
      </c>
      <c r="I99" s="80"/>
    </row>
    <row r="100" spans="1:9" hidden="1">
      <c r="A100" s="43">
        <v>8137</v>
      </c>
      <c r="B100" s="26" t="s">
        <v>282</v>
      </c>
      <c r="C100" s="27" t="s">
        <v>253</v>
      </c>
      <c r="D100" s="27">
        <v>912</v>
      </c>
      <c r="E100" s="44"/>
      <c r="F100" s="60">
        <v>43222</v>
      </c>
      <c r="G100" s="38" t="s">
        <v>29</v>
      </c>
      <c r="H100" s="28">
        <f t="shared" si="1"/>
        <v>2018</v>
      </c>
      <c r="I100" s="80"/>
    </row>
    <row r="101" spans="1:9" hidden="1">
      <c r="A101" s="43">
        <v>8138</v>
      </c>
      <c r="B101" s="26" t="s">
        <v>306</v>
      </c>
      <c r="C101" s="27" t="s">
        <v>253</v>
      </c>
      <c r="D101" s="27">
        <v>456</v>
      </c>
      <c r="E101" s="44"/>
      <c r="F101" s="60">
        <v>43222</v>
      </c>
      <c r="G101" s="38" t="s">
        <v>29</v>
      </c>
      <c r="H101" s="28">
        <f t="shared" si="1"/>
        <v>2018</v>
      </c>
      <c r="I101" s="80"/>
    </row>
    <row r="102" spans="1:9" hidden="1">
      <c r="A102" s="43">
        <v>8139</v>
      </c>
      <c r="B102" s="26" t="s">
        <v>284</v>
      </c>
      <c r="C102" s="27" t="s">
        <v>253</v>
      </c>
      <c r="D102" s="27">
        <v>912</v>
      </c>
      <c r="E102" s="44"/>
      <c r="F102" s="60">
        <v>43222</v>
      </c>
      <c r="G102" s="38" t="s">
        <v>29</v>
      </c>
      <c r="H102" s="28">
        <f t="shared" si="1"/>
        <v>2018</v>
      </c>
      <c r="I102" s="80"/>
    </row>
    <row r="103" spans="1:9" hidden="1">
      <c r="A103" s="43">
        <v>8140</v>
      </c>
      <c r="B103" s="26" t="s">
        <v>285</v>
      </c>
      <c r="C103" s="27" t="s">
        <v>253</v>
      </c>
      <c r="D103" s="27">
        <v>912</v>
      </c>
      <c r="E103" s="44"/>
      <c r="F103" s="60">
        <v>43222</v>
      </c>
      <c r="G103" s="38" t="s">
        <v>29</v>
      </c>
      <c r="H103" s="28">
        <f t="shared" si="1"/>
        <v>2018</v>
      </c>
      <c r="I103" s="80"/>
    </row>
    <row r="104" spans="1:9" hidden="1">
      <c r="A104" s="43">
        <v>8141</v>
      </c>
      <c r="B104" s="26" t="s">
        <v>307</v>
      </c>
      <c r="C104" s="27" t="s">
        <v>248</v>
      </c>
      <c r="D104" s="27">
        <v>3112</v>
      </c>
      <c r="E104" s="44"/>
      <c r="F104" s="60">
        <v>43222</v>
      </c>
      <c r="G104" s="38" t="s">
        <v>29</v>
      </c>
      <c r="H104" s="28">
        <f t="shared" si="1"/>
        <v>2018</v>
      </c>
      <c r="I104" s="80"/>
    </row>
    <row r="105" spans="1:9" hidden="1">
      <c r="A105" s="43">
        <v>8142</v>
      </c>
      <c r="B105" s="26" t="s">
        <v>207</v>
      </c>
      <c r="C105" s="27" t="s">
        <v>248</v>
      </c>
      <c r="D105" s="27">
        <v>15560</v>
      </c>
      <c r="E105" s="44"/>
      <c r="F105" s="60">
        <v>43402</v>
      </c>
      <c r="G105" s="38" t="s">
        <v>29</v>
      </c>
      <c r="H105" s="28">
        <f t="shared" si="1"/>
        <v>2018</v>
      </c>
      <c r="I105" s="80"/>
    </row>
    <row r="106" spans="1:9" hidden="1">
      <c r="A106" s="43">
        <v>8143</v>
      </c>
      <c r="B106" s="26" t="s">
        <v>211</v>
      </c>
      <c r="C106" s="27" t="s">
        <v>248</v>
      </c>
      <c r="D106" s="27">
        <v>6224</v>
      </c>
      <c r="E106" s="44"/>
      <c r="F106" s="60">
        <v>43201</v>
      </c>
      <c r="G106" s="38" t="s">
        <v>29</v>
      </c>
      <c r="H106" s="28">
        <f t="shared" si="1"/>
        <v>2018</v>
      </c>
      <c r="I106" s="80"/>
    </row>
    <row r="107" spans="1:9" hidden="1">
      <c r="A107" s="43">
        <v>8144</v>
      </c>
      <c r="B107" s="26" t="s">
        <v>308</v>
      </c>
      <c r="C107" s="27" t="s">
        <v>248</v>
      </c>
      <c r="D107" s="27">
        <v>4668</v>
      </c>
      <c r="E107" s="44"/>
      <c r="F107" s="60">
        <v>43432</v>
      </c>
      <c r="G107" s="38" t="s">
        <v>29</v>
      </c>
      <c r="H107" s="28">
        <f t="shared" si="1"/>
        <v>2018</v>
      </c>
      <c r="I107" s="80"/>
    </row>
    <row r="108" spans="1:9" hidden="1">
      <c r="A108" s="43">
        <v>8145</v>
      </c>
      <c r="B108" s="26" t="s">
        <v>286</v>
      </c>
      <c r="C108" s="27" t="s">
        <v>253</v>
      </c>
      <c r="D108" s="27">
        <v>1368</v>
      </c>
      <c r="E108" s="44"/>
      <c r="F108" s="60">
        <v>43202</v>
      </c>
      <c r="G108" s="38" t="s">
        <v>29</v>
      </c>
      <c r="H108" s="28">
        <f t="shared" si="1"/>
        <v>2018</v>
      </c>
      <c r="I108" s="80"/>
    </row>
    <row r="109" spans="1:9" hidden="1">
      <c r="A109" s="43">
        <v>8147</v>
      </c>
      <c r="B109" s="26" t="s">
        <v>260</v>
      </c>
      <c r="C109" s="27" t="s">
        <v>267</v>
      </c>
      <c r="D109" s="27">
        <v>1140</v>
      </c>
      <c r="E109" s="44"/>
      <c r="F109" s="60">
        <v>43202</v>
      </c>
      <c r="G109" s="38" t="s">
        <v>29</v>
      </c>
      <c r="H109" s="28">
        <f t="shared" si="1"/>
        <v>2018</v>
      </c>
      <c r="I109" s="80"/>
    </row>
    <row r="110" spans="1:9" hidden="1">
      <c r="A110" s="43">
        <v>8148</v>
      </c>
      <c r="B110" s="26" t="s">
        <v>261</v>
      </c>
      <c r="C110" s="27" t="s">
        <v>267</v>
      </c>
      <c r="D110" s="27">
        <v>1368</v>
      </c>
      <c r="E110" s="44"/>
      <c r="F110" s="60">
        <v>43202</v>
      </c>
      <c r="G110" s="38" t="s">
        <v>29</v>
      </c>
      <c r="H110" s="28">
        <f t="shared" si="1"/>
        <v>2018</v>
      </c>
      <c r="I110" s="80"/>
    </row>
    <row r="111" spans="1:9" hidden="1">
      <c r="A111" s="43">
        <v>8149</v>
      </c>
      <c r="B111" s="26" t="s">
        <v>262</v>
      </c>
      <c r="C111" s="27" t="s">
        <v>267</v>
      </c>
      <c r="D111" s="27">
        <v>912</v>
      </c>
      <c r="E111" s="44"/>
      <c r="F111" s="60">
        <v>43202</v>
      </c>
      <c r="G111" s="38" t="s">
        <v>29</v>
      </c>
      <c r="H111" s="28">
        <f t="shared" si="1"/>
        <v>2018</v>
      </c>
      <c r="I111" s="80"/>
    </row>
    <row r="112" spans="1:9" hidden="1">
      <c r="A112" s="43">
        <v>8151</v>
      </c>
      <c r="B112" s="26" t="s">
        <v>264</v>
      </c>
      <c r="C112" s="27" t="s">
        <v>267</v>
      </c>
      <c r="D112" s="27">
        <v>1596</v>
      </c>
      <c r="E112" s="44"/>
      <c r="F112" s="60">
        <v>43202</v>
      </c>
      <c r="G112" s="38" t="s">
        <v>29</v>
      </c>
      <c r="H112" s="28">
        <f t="shared" si="1"/>
        <v>2018</v>
      </c>
      <c r="I112" s="80"/>
    </row>
    <row r="113" spans="1:9" hidden="1">
      <c r="A113" s="43">
        <v>8152</v>
      </c>
      <c r="B113" s="26" t="s">
        <v>265</v>
      </c>
      <c r="C113" s="27" t="s">
        <v>267</v>
      </c>
      <c r="D113" s="27">
        <v>1140</v>
      </c>
      <c r="E113" s="44"/>
      <c r="F113" s="60">
        <v>43202</v>
      </c>
      <c r="G113" s="38" t="s">
        <v>29</v>
      </c>
      <c r="H113" s="28">
        <f t="shared" si="1"/>
        <v>2018</v>
      </c>
      <c r="I113" s="80"/>
    </row>
    <row r="114" spans="1:9" hidden="1">
      <c r="A114" s="43">
        <v>8153</v>
      </c>
      <c r="B114" s="26" t="s">
        <v>266</v>
      </c>
      <c r="C114" s="27" t="s">
        <v>267</v>
      </c>
      <c r="D114" s="27">
        <v>228</v>
      </c>
      <c r="E114" s="44"/>
      <c r="F114" s="60">
        <v>43202</v>
      </c>
      <c r="G114" s="38" t="s">
        <v>29</v>
      </c>
      <c r="H114" s="28">
        <f t="shared" si="1"/>
        <v>2018</v>
      </c>
      <c r="I114" s="80"/>
    </row>
    <row r="115" spans="1:9" hidden="1">
      <c r="A115" s="43">
        <v>8154</v>
      </c>
      <c r="B115" s="26" t="s">
        <v>309</v>
      </c>
      <c r="C115" s="27" t="s">
        <v>248</v>
      </c>
      <c r="D115" s="27">
        <v>3112</v>
      </c>
      <c r="E115" s="44"/>
      <c r="F115" s="60">
        <v>43432</v>
      </c>
      <c r="G115" s="38" t="s">
        <v>29</v>
      </c>
      <c r="H115" s="28">
        <f t="shared" si="1"/>
        <v>2018</v>
      </c>
      <c r="I115" s="80"/>
    </row>
    <row r="116" spans="1:9" hidden="1">
      <c r="A116" s="43">
        <v>8155</v>
      </c>
      <c r="B116" s="26" t="s">
        <v>310</v>
      </c>
      <c r="C116" s="27" t="s">
        <v>248</v>
      </c>
      <c r="D116" s="27">
        <v>3112</v>
      </c>
      <c r="E116" s="44"/>
      <c r="F116" s="60">
        <v>43202</v>
      </c>
      <c r="G116" s="38" t="s">
        <v>29</v>
      </c>
      <c r="H116" s="28">
        <f t="shared" si="1"/>
        <v>2018</v>
      </c>
      <c r="I116" s="80"/>
    </row>
    <row r="117" spans="1:9" hidden="1">
      <c r="A117" s="43">
        <v>8156</v>
      </c>
      <c r="B117" s="26" t="s">
        <v>202</v>
      </c>
      <c r="C117" s="27" t="s">
        <v>248</v>
      </c>
      <c r="D117" s="27">
        <v>5446</v>
      </c>
      <c r="E117" s="44"/>
      <c r="F117" s="60">
        <v>43202</v>
      </c>
      <c r="G117" s="38" t="s">
        <v>29</v>
      </c>
      <c r="H117" s="28">
        <f t="shared" si="1"/>
        <v>2018</v>
      </c>
      <c r="I117" s="80"/>
    </row>
    <row r="118" spans="1:9" hidden="1">
      <c r="A118" s="43">
        <v>8157</v>
      </c>
      <c r="B118" s="26" t="s">
        <v>311</v>
      </c>
      <c r="C118" s="27" t="s">
        <v>248</v>
      </c>
      <c r="D118" s="27">
        <v>6224</v>
      </c>
      <c r="E118" s="44"/>
      <c r="F118" s="60">
        <v>43202</v>
      </c>
      <c r="G118" s="38" t="s">
        <v>29</v>
      </c>
      <c r="H118" s="28">
        <f t="shared" si="1"/>
        <v>2018</v>
      </c>
      <c r="I118" s="80"/>
    </row>
    <row r="119" spans="1:9" hidden="1">
      <c r="A119" s="43">
        <v>8158</v>
      </c>
      <c r="B119" s="26" t="s">
        <v>312</v>
      </c>
      <c r="C119" s="27" t="s">
        <v>248</v>
      </c>
      <c r="D119" s="27">
        <v>3112</v>
      </c>
      <c r="E119" s="44"/>
      <c r="F119" s="60">
        <v>43202</v>
      </c>
      <c r="G119" s="38" t="s">
        <v>29</v>
      </c>
      <c r="H119" s="28">
        <f t="shared" ref="H119:H181" si="2">YEAR(F119)</f>
        <v>2018</v>
      </c>
      <c r="I119" s="80"/>
    </row>
    <row r="120" spans="1:9" hidden="1">
      <c r="A120" s="43">
        <v>8159</v>
      </c>
      <c r="B120" s="26" t="s">
        <v>313</v>
      </c>
      <c r="C120" s="27" t="s">
        <v>248</v>
      </c>
      <c r="D120" s="27">
        <v>1400</v>
      </c>
      <c r="E120" s="44"/>
      <c r="F120" s="60">
        <v>43202</v>
      </c>
      <c r="G120" s="38" t="s">
        <v>29</v>
      </c>
      <c r="H120" s="28">
        <f t="shared" si="2"/>
        <v>2018</v>
      </c>
      <c r="I120" s="80"/>
    </row>
    <row r="121" spans="1:9" hidden="1">
      <c r="A121" s="43">
        <v>8160</v>
      </c>
      <c r="B121" s="26" t="s">
        <v>314</v>
      </c>
      <c r="C121" s="27" t="s">
        <v>248</v>
      </c>
      <c r="D121" s="27">
        <v>3112</v>
      </c>
      <c r="E121" s="44"/>
      <c r="F121" s="60">
        <v>43202</v>
      </c>
      <c r="G121" s="38" t="s">
        <v>29</v>
      </c>
      <c r="H121" s="28">
        <f t="shared" si="2"/>
        <v>2018</v>
      </c>
      <c r="I121" s="80"/>
    </row>
    <row r="122" spans="1:9" hidden="1">
      <c r="A122" s="43">
        <v>8161</v>
      </c>
      <c r="B122" s="26" t="s">
        <v>288</v>
      </c>
      <c r="C122" s="27" t="s">
        <v>253</v>
      </c>
      <c r="D122" s="27">
        <v>684</v>
      </c>
      <c r="E122" s="44"/>
      <c r="F122" s="60">
        <v>43202</v>
      </c>
      <c r="G122" s="38" t="s">
        <v>29</v>
      </c>
      <c r="H122" s="28">
        <f t="shared" si="2"/>
        <v>2018</v>
      </c>
      <c r="I122" s="80"/>
    </row>
    <row r="123" spans="1:9" hidden="1">
      <c r="A123" s="43">
        <v>8163</v>
      </c>
      <c r="B123" s="26" t="s">
        <v>289</v>
      </c>
      <c r="C123" s="27" t="s">
        <v>253</v>
      </c>
      <c r="D123" s="27">
        <v>912</v>
      </c>
      <c r="E123" s="44"/>
      <c r="F123" s="60">
        <v>43202</v>
      </c>
      <c r="G123" s="38" t="s">
        <v>29</v>
      </c>
      <c r="H123" s="28">
        <f t="shared" si="2"/>
        <v>2018</v>
      </c>
      <c r="I123" s="80"/>
    </row>
    <row r="124" spans="1:9" hidden="1">
      <c r="A124" s="43">
        <v>8164</v>
      </c>
      <c r="B124" s="26" t="s">
        <v>290</v>
      </c>
      <c r="C124" s="27" t="s">
        <v>253</v>
      </c>
      <c r="D124" s="27">
        <v>1368</v>
      </c>
      <c r="E124" s="44"/>
      <c r="F124" s="60">
        <v>43202</v>
      </c>
      <c r="G124" s="38" t="s">
        <v>29</v>
      </c>
      <c r="H124" s="28">
        <f t="shared" si="2"/>
        <v>2018</v>
      </c>
      <c r="I124" s="80"/>
    </row>
    <row r="125" spans="1:9" hidden="1">
      <c r="A125" s="43">
        <v>8166</v>
      </c>
      <c r="B125" s="26" t="s">
        <v>292</v>
      </c>
      <c r="C125" s="27" t="s">
        <v>253</v>
      </c>
      <c r="D125" s="27">
        <v>912</v>
      </c>
      <c r="E125" s="44"/>
      <c r="F125" s="60">
        <v>43202</v>
      </c>
      <c r="G125" s="38" t="s">
        <v>29</v>
      </c>
      <c r="H125" s="28">
        <f t="shared" si="2"/>
        <v>2018</v>
      </c>
      <c r="I125" s="80"/>
    </row>
    <row r="126" spans="1:9" hidden="1">
      <c r="A126" s="43">
        <v>8167</v>
      </c>
      <c r="B126" s="26" t="s">
        <v>254</v>
      </c>
      <c r="C126" s="27" t="s">
        <v>294</v>
      </c>
      <c r="D126" s="27">
        <v>1368</v>
      </c>
      <c r="E126" s="44"/>
      <c r="F126" s="60">
        <v>43202</v>
      </c>
      <c r="G126" s="38" t="s">
        <v>29</v>
      </c>
      <c r="H126" s="28">
        <f t="shared" si="2"/>
        <v>2018</v>
      </c>
      <c r="I126" s="80"/>
    </row>
    <row r="127" spans="1:9" hidden="1">
      <c r="A127" s="43">
        <v>8168</v>
      </c>
      <c r="B127" s="26" t="s">
        <v>315</v>
      </c>
      <c r="C127" s="27" t="s">
        <v>248</v>
      </c>
      <c r="D127" s="27">
        <v>1400</v>
      </c>
      <c r="E127" s="44"/>
      <c r="F127" s="60">
        <v>43202</v>
      </c>
      <c r="G127" s="38" t="s">
        <v>29</v>
      </c>
      <c r="H127" s="28">
        <f t="shared" si="2"/>
        <v>2018</v>
      </c>
      <c r="I127" s="80"/>
    </row>
    <row r="128" spans="1:9" hidden="1">
      <c r="A128" s="43">
        <v>8169</v>
      </c>
      <c r="B128" s="26" t="s">
        <v>316</v>
      </c>
      <c r="C128" s="27" t="s">
        <v>248</v>
      </c>
      <c r="D128" s="27">
        <v>1400</v>
      </c>
      <c r="E128" s="44"/>
      <c r="F128" s="60">
        <v>43202</v>
      </c>
      <c r="G128" s="38" t="s">
        <v>29</v>
      </c>
      <c r="H128" s="28">
        <f t="shared" si="2"/>
        <v>2018</v>
      </c>
      <c r="I128" s="80"/>
    </row>
    <row r="129" spans="1:9" hidden="1">
      <c r="A129" s="43">
        <v>8170</v>
      </c>
      <c r="B129" s="26" t="s">
        <v>215</v>
      </c>
      <c r="C129" s="27" t="s">
        <v>253</v>
      </c>
      <c r="D129" s="27">
        <v>1596</v>
      </c>
      <c r="E129" s="44"/>
      <c r="F129" s="60">
        <v>43202</v>
      </c>
      <c r="G129" s="38" t="s">
        <v>29</v>
      </c>
      <c r="H129" s="28">
        <f t="shared" si="2"/>
        <v>2018</v>
      </c>
      <c r="I129" s="80"/>
    </row>
    <row r="130" spans="1:9" hidden="1">
      <c r="A130" s="43">
        <v>8171</v>
      </c>
      <c r="B130" s="26" t="s">
        <v>295</v>
      </c>
      <c r="C130" s="27" t="s">
        <v>253</v>
      </c>
      <c r="D130" s="27">
        <v>1140</v>
      </c>
      <c r="E130" s="44"/>
      <c r="F130" s="60">
        <v>43202</v>
      </c>
      <c r="G130" s="38" t="s">
        <v>29</v>
      </c>
      <c r="H130" s="28">
        <f t="shared" si="2"/>
        <v>2018</v>
      </c>
      <c r="I130" s="80"/>
    </row>
    <row r="131" spans="1:9" hidden="1">
      <c r="A131" s="43">
        <v>8172</v>
      </c>
      <c r="B131" s="26" t="s">
        <v>276</v>
      </c>
      <c r="C131" s="27" t="s">
        <v>267</v>
      </c>
      <c r="D131" s="27">
        <v>912</v>
      </c>
      <c r="E131" s="44"/>
      <c r="F131" s="60">
        <v>43202</v>
      </c>
      <c r="G131" s="38" t="s">
        <v>29</v>
      </c>
      <c r="H131" s="28">
        <f t="shared" si="2"/>
        <v>2018</v>
      </c>
      <c r="I131" s="80"/>
    </row>
    <row r="132" spans="1:9" hidden="1">
      <c r="A132" s="43">
        <v>8174</v>
      </c>
      <c r="B132" s="26" t="s">
        <v>274</v>
      </c>
      <c r="C132" s="27" t="s">
        <v>267</v>
      </c>
      <c r="D132" s="27">
        <v>1140</v>
      </c>
      <c r="E132" s="44"/>
      <c r="F132" s="60">
        <v>43202</v>
      </c>
      <c r="G132" s="38" t="s">
        <v>29</v>
      </c>
      <c r="H132" s="28">
        <f t="shared" si="2"/>
        <v>2018</v>
      </c>
      <c r="I132" s="80"/>
    </row>
    <row r="133" spans="1:9" hidden="1">
      <c r="A133" s="43">
        <v>8176</v>
      </c>
      <c r="B133" s="26" t="s">
        <v>272</v>
      </c>
      <c r="C133" s="27" t="s">
        <v>267</v>
      </c>
      <c r="D133" s="27">
        <v>912</v>
      </c>
      <c r="E133" s="44"/>
      <c r="F133" s="60">
        <v>43202</v>
      </c>
      <c r="G133" s="38" t="s">
        <v>29</v>
      </c>
      <c r="H133" s="28">
        <f t="shared" si="2"/>
        <v>2018</v>
      </c>
      <c r="I133" s="80"/>
    </row>
    <row r="134" spans="1:9" hidden="1">
      <c r="A134" s="43">
        <v>8178</v>
      </c>
      <c r="B134" s="26" t="s">
        <v>269</v>
      </c>
      <c r="C134" s="27" t="s">
        <v>267</v>
      </c>
      <c r="D134" s="27">
        <v>912</v>
      </c>
      <c r="E134" s="44"/>
      <c r="F134" s="60">
        <v>43202</v>
      </c>
      <c r="G134" s="38" t="s">
        <v>29</v>
      </c>
      <c r="H134" s="28">
        <f t="shared" si="2"/>
        <v>2018</v>
      </c>
      <c r="I134" s="80"/>
    </row>
    <row r="135" spans="1:9" hidden="1">
      <c r="A135" s="43">
        <v>8179</v>
      </c>
      <c r="B135" s="26" t="s">
        <v>268</v>
      </c>
      <c r="C135" s="27" t="s">
        <v>267</v>
      </c>
      <c r="D135" s="27">
        <v>912</v>
      </c>
      <c r="E135" s="44"/>
      <c r="F135" s="60">
        <v>43202</v>
      </c>
      <c r="G135" s="38" t="s">
        <v>29</v>
      </c>
      <c r="H135" s="28">
        <f t="shared" si="2"/>
        <v>2018</v>
      </c>
      <c r="I135" s="80"/>
    </row>
    <row r="136" spans="1:9" hidden="1">
      <c r="A136" s="43">
        <v>8180</v>
      </c>
      <c r="B136" s="26" t="s">
        <v>270</v>
      </c>
      <c r="C136" s="27" t="s">
        <v>267</v>
      </c>
      <c r="D136" s="27">
        <v>456</v>
      </c>
      <c r="E136" s="44"/>
      <c r="F136" s="60">
        <v>43202</v>
      </c>
      <c r="G136" s="38" t="s">
        <v>29</v>
      </c>
      <c r="H136" s="28">
        <f t="shared" si="2"/>
        <v>2018</v>
      </c>
      <c r="I136" s="80"/>
    </row>
    <row r="137" spans="1:9" hidden="1">
      <c r="A137" s="43">
        <v>8181</v>
      </c>
      <c r="B137" s="26" t="s">
        <v>296</v>
      </c>
      <c r="C137" s="27" t="s">
        <v>253</v>
      </c>
      <c r="D137" s="27">
        <v>912</v>
      </c>
      <c r="E137" s="44"/>
      <c r="F137" s="60">
        <v>43202</v>
      </c>
      <c r="G137" s="38" t="s">
        <v>29</v>
      </c>
      <c r="H137" s="28">
        <f t="shared" si="2"/>
        <v>2018</v>
      </c>
      <c r="I137" s="80"/>
    </row>
    <row r="138" spans="1:9" hidden="1">
      <c r="A138" s="43">
        <v>8182</v>
      </c>
      <c r="B138" s="26" t="s">
        <v>209</v>
      </c>
      <c r="C138" s="27" t="s">
        <v>253</v>
      </c>
      <c r="D138" s="27">
        <v>3648</v>
      </c>
      <c r="E138" s="44"/>
      <c r="F138" s="60">
        <v>43202</v>
      </c>
      <c r="G138" s="38" t="s">
        <v>29</v>
      </c>
      <c r="H138" s="28">
        <f t="shared" si="2"/>
        <v>2018</v>
      </c>
      <c r="I138" s="80"/>
    </row>
    <row r="139" spans="1:9" hidden="1">
      <c r="A139" s="43">
        <v>8183</v>
      </c>
      <c r="B139" s="26" t="s">
        <v>213</v>
      </c>
      <c r="C139" s="27" t="s">
        <v>253</v>
      </c>
      <c r="D139" s="27">
        <v>2280</v>
      </c>
      <c r="E139" s="44"/>
      <c r="F139" s="60">
        <v>43202</v>
      </c>
      <c r="G139" s="38" t="s">
        <v>29</v>
      </c>
      <c r="H139" s="28">
        <f t="shared" si="2"/>
        <v>2018</v>
      </c>
      <c r="I139" s="80"/>
    </row>
    <row r="140" spans="1:9" hidden="1">
      <c r="A140" s="43">
        <v>8184</v>
      </c>
      <c r="B140" s="26" t="s">
        <v>298</v>
      </c>
      <c r="C140" s="27" t="s">
        <v>253</v>
      </c>
      <c r="D140" s="27">
        <v>684</v>
      </c>
      <c r="E140" s="44"/>
      <c r="F140" s="60">
        <v>43202</v>
      </c>
      <c r="G140" s="38" t="s">
        <v>29</v>
      </c>
      <c r="H140" s="28">
        <f t="shared" si="2"/>
        <v>2018</v>
      </c>
      <c r="I140" s="80"/>
    </row>
    <row r="141" spans="1:9" hidden="1">
      <c r="A141" s="43">
        <v>8185</v>
      </c>
      <c r="B141" s="26" t="s">
        <v>299</v>
      </c>
      <c r="C141" s="27" t="s">
        <v>253</v>
      </c>
      <c r="D141" s="27">
        <v>912</v>
      </c>
      <c r="E141" s="44"/>
      <c r="F141" s="60">
        <v>43202</v>
      </c>
      <c r="G141" s="38" t="s">
        <v>29</v>
      </c>
      <c r="H141" s="28">
        <f t="shared" si="2"/>
        <v>2018</v>
      </c>
      <c r="I141" s="80"/>
    </row>
    <row r="142" spans="1:9" hidden="1">
      <c r="A142" s="43">
        <v>8186</v>
      </c>
      <c r="B142" s="26" t="s">
        <v>300</v>
      </c>
      <c r="C142" s="27" t="s">
        <v>253</v>
      </c>
      <c r="D142" s="27">
        <v>912</v>
      </c>
      <c r="E142" s="44"/>
      <c r="F142" s="60">
        <v>43202</v>
      </c>
      <c r="G142" s="38" t="s">
        <v>29</v>
      </c>
      <c r="H142" s="28">
        <f t="shared" si="2"/>
        <v>2018</v>
      </c>
      <c r="I142" s="80"/>
    </row>
    <row r="143" spans="1:9" hidden="1">
      <c r="A143" s="43">
        <v>8187</v>
      </c>
      <c r="B143" s="26" t="s">
        <v>317</v>
      </c>
      <c r="C143" s="27" t="s">
        <v>248</v>
      </c>
      <c r="D143" s="27">
        <v>3890</v>
      </c>
      <c r="E143" s="44"/>
      <c r="F143" s="60">
        <v>43739</v>
      </c>
      <c r="G143" s="38" t="s">
        <v>29</v>
      </c>
      <c r="H143" s="28">
        <f t="shared" si="2"/>
        <v>2019</v>
      </c>
      <c r="I143" s="80"/>
    </row>
    <row r="144" spans="1:9" hidden="1">
      <c r="A144" s="43">
        <v>8188</v>
      </c>
      <c r="B144" s="26" t="s">
        <v>257</v>
      </c>
      <c r="C144" s="27" t="s">
        <v>294</v>
      </c>
      <c r="D144" s="27">
        <v>1140</v>
      </c>
      <c r="E144" s="44"/>
      <c r="F144" s="60">
        <v>43739</v>
      </c>
      <c r="G144" s="38" t="s">
        <v>29</v>
      </c>
      <c r="H144" s="28">
        <f t="shared" si="2"/>
        <v>2019</v>
      </c>
      <c r="I144" s="80"/>
    </row>
    <row r="145" spans="1:9" hidden="1">
      <c r="A145" s="43">
        <v>8189</v>
      </c>
      <c r="B145" s="26" t="s">
        <v>258</v>
      </c>
      <c r="C145" s="27" t="s">
        <v>294</v>
      </c>
      <c r="D145" s="27">
        <v>1140</v>
      </c>
      <c r="E145" s="44"/>
      <c r="F145" s="60">
        <v>43202</v>
      </c>
      <c r="G145" s="38" t="s">
        <v>29</v>
      </c>
      <c r="H145" s="28">
        <f t="shared" si="2"/>
        <v>2018</v>
      </c>
      <c r="I145" s="80"/>
    </row>
    <row r="146" spans="1:9" hidden="1">
      <c r="A146" s="43">
        <v>8190</v>
      </c>
      <c r="B146" s="26" t="s">
        <v>217</v>
      </c>
      <c r="C146" s="27" t="s">
        <v>253</v>
      </c>
      <c r="D146" s="27">
        <v>1140</v>
      </c>
      <c r="E146" s="44"/>
      <c r="F146" s="60">
        <v>43202</v>
      </c>
      <c r="G146" s="38" t="s">
        <v>29</v>
      </c>
      <c r="H146" s="28">
        <f t="shared" si="2"/>
        <v>2018</v>
      </c>
      <c r="I146" s="80"/>
    </row>
    <row r="147" spans="1:9" hidden="1">
      <c r="A147" s="43">
        <v>8191</v>
      </c>
      <c r="B147" s="26" t="s">
        <v>301</v>
      </c>
      <c r="C147" s="27" t="s">
        <v>253</v>
      </c>
      <c r="D147" s="27">
        <v>1368</v>
      </c>
      <c r="E147" s="44"/>
      <c r="F147" s="60">
        <v>43521</v>
      </c>
      <c r="G147" s="38" t="s">
        <v>29</v>
      </c>
      <c r="H147" s="28">
        <f t="shared" si="2"/>
        <v>2019</v>
      </c>
      <c r="I147" s="80"/>
    </row>
    <row r="148" spans="1:9" hidden="1">
      <c r="A148" s="43">
        <v>8192</v>
      </c>
      <c r="B148" s="26" t="s">
        <v>302</v>
      </c>
      <c r="C148" s="27" t="s">
        <v>253</v>
      </c>
      <c r="D148" s="27">
        <v>1140</v>
      </c>
      <c r="E148" s="44"/>
      <c r="F148" s="60">
        <v>43521</v>
      </c>
      <c r="G148" s="38" t="s">
        <v>29</v>
      </c>
      <c r="H148" s="28">
        <f t="shared" si="2"/>
        <v>2019</v>
      </c>
      <c r="I148" s="80"/>
    </row>
    <row r="149" spans="1:9" hidden="1">
      <c r="A149" s="43">
        <v>8193</v>
      </c>
      <c r="B149" s="26" t="s">
        <v>303</v>
      </c>
      <c r="C149" s="27" t="s">
        <v>253</v>
      </c>
      <c r="D149" s="27">
        <v>2280</v>
      </c>
      <c r="E149" s="44"/>
      <c r="F149" s="60">
        <v>43202</v>
      </c>
      <c r="G149" s="38" t="s">
        <v>29</v>
      </c>
      <c r="H149" s="28">
        <f t="shared" si="2"/>
        <v>2018</v>
      </c>
      <c r="I149" s="80"/>
    </row>
    <row r="150" spans="1:9" hidden="1">
      <c r="A150" s="43">
        <v>8194</v>
      </c>
      <c r="B150" s="26" t="s">
        <v>304</v>
      </c>
      <c r="C150" s="27" t="s">
        <v>253</v>
      </c>
      <c r="D150" s="27">
        <v>1824</v>
      </c>
      <c r="E150" s="44"/>
      <c r="F150" s="60">
        <v>43202</v>
      </c>
      <c r="G150" s="38" t="s">
        <v>29</v>
      </c>
      <c r="H150" s="28">
        <f t="shared" si="2"/>
        <v>2018</v>
      </c>
      <c r="I150" s="80"/>
    </row>
    <row r="151" spans="1:9" hidden="1">
      <c r="A151" s="43">
        <v>8195</v>
      </c>
      <c r="B151" s="26" t="s">
        <v>307</v>
      </c>
      <c r="C151" s="27" t="s">
        <v>253</v>
      </c>
      <c r="D151" s="27">
        <v>912</v>
      </c>
      <c r="E151" s="44"/>
      <c r="F151" s="60">
        <v>43202</v>
      </c>
      <c r="G151" s="38" t="s">
        <v>29</v>
      </c>
      <c r="H151" s="28">
        <f t="shared" si="2"/>
        <v>2018</v>
      </c>
      <c r="I151" s="80"/>
    </row>
    <row r="152" spans="1:9" hidden="1">
      <c r="A152" s="43">
        <v>8196</v>
      </c>
      <c r="B152" s="26" t="s">
        <v>305</v>
      </c>
      <c r="C152" s="27" t="s">
        <v>253</v>
      </c>
      <c r="D152" s="27">
        <v>228</v>
      </c>
      <c r="E152" s="44"/>
      <c r="F152" s="60">
        <v>43521</v>
      </c>
      <c r="G152" s="38" t="s">
        <v>29</v>
      </c>
      <c r="H152" s="28">
        <f t="shared" si="2"/>
        <v>2019</v>
      </c>
      <c r="I152" s="80"/>
    </row>
    <row r="153" spans="1:9" hidden="1">
      <c r="A153" s="43">
        <v>8197</v>
      </c>
      <c r="B153" s="26" t="s">
        <v>259</v>
      </c>
      <c r="C153" s="27" t="s">
        <v>294</v>
      </c>
      <c r="D153" s="27">
        <v>1140</v>
      </c>
      <c r="E153" s="44"/>
      <c r="F153" s="60">
        <v>43739</v>
      </c>
      <c r="G153" s="38" t="s">
        <v>29</v>
      </c>
      <c r="H153" s="28">
        <f t="shared" si="2"/>
        <v>2019</v>
      </c>
      <c r="I153" s="80"/>
    </row>
    <row r="154" spans="1:9" hidden="1">
      <c r="A154" s="43">
        <v>8198</v>
      </c>
      <c r="B154" s="26" t="s">
        <v>297</v>
      </c>
      <c r="C154" s="27" t="s">
        <v>253</v>
      </c>
      <c r="D154" s="27">
        <v>912</v>
      </c>
      <c r="E154" s="44"/>
      <c r="F154" s="60">
        <v>43739</v>
      </c>
      <c r="G154" s="38" t="s">
        <v>29</v>
      </c>
      <c r="H154" s="28">
        <f t="shared" si="2"/>
        <v>2019</v>
      </c>
      <c r="I154" s="80"/>
    </row>
    <row r="155" spans="1:9" hidden="1">
      <c r="A155" s="43">
        <v>8199</v>
      </c>
      <c r="B155" s="26" t="s">
        <v>187</v>
      </c>
      <c r="C155" s="27" t="s">
        <v>293</v>
      </c>
      <c r="D155" s="27">
        <v>1596</v>
      </c>
      <c r="E155" s="44"/>
      <c r="F155" s="60">
        <v>43739</v>
      </c>
      <c r="G155" s="38" t="s">
        <v>29</v>
      </c>
      <c r="H155" s="28">
        <f t="shared" si="2"/>
        <v>2019</v>
      </c>
      <c r="I155" s="80"/>
    </row>
    <row r="156" spans="1:9" hidden="1">
      <c r="A156" s="43">
        <v>8200</v>
      </c>
      <c r="B156" s="26" t="s">
        <v>252</v>
      </c>
      <c r="C156" s="27" t="s">
        <v>293</v>
      </c>
      <c r="D156" s="27">
        <v>912</v>
      </c>
      <c r="E156" s="44"/>
      <c r="F156" s="60">
        <v>43521</v>
      </c>
      <c r="G156" s="38" t="s">
        <v>29</v>
      </c>
      <c r="H156" s="28">
        <f t="shared" si="2"/>
        <v>2019</v>
      </c>
      <c r="I156" s="80"/>
    </row>
    <row r="157" spans="1:9" hidden="1">
      <c r="A157" s="43">
        <v>8202</v>
      </c>
      <c r="B157" s="26" t="s">
        <v>255</v>
      </c>
      <c r="C157" s="27" t="s">
        <v>294</v>
      </c>
      <c r="D157" s="27">
        <v>1140</v>
      </c>
      <c r="E157" s="44"/>
      <c r="F157" s="60">
        <v>43521</v>
      </c>
      <c r="G157" s="38" t="s">
        <v>29</v>
      </c>
      <c r="H157" s="28">
        <f t="shared" si="2"/>
        <v>2019</v>
      </c>
      <c r="I157" s="80"/>
    </row>
    <row r="158" spans="1:9" hidden="1">
      <c r="A158" s="43">
        <v>8203</v>
      </c>
      <c r="B158" s="26" t="s">
        <v>277</v>
      </c>
      <c r="C158" s="27" t="s">
        <v>267</v>
      </c>
      <c r="D158" s="27">
        <v>458</v>
      </c>
      <c r="E158" s="44"/>
      <c r="F158" s="60">
        <v>43521</v>
      </c>
      <c r="G158" s="38" t="s">
        <v>29</v>
      </c>
      <c r="H158" s="28">
        <f t="shared" si="2"/>
        <v>2019</v>
      </c>
      <c r="I158" s="80"/>
    </row>
    <row r="159" spans="1:9" hidden="1">
      <c r="A159" s="43">
        <v>8204</v>
      </c>
      <c r="B159" s="26" t="s">
        <v>278</v>
      </c>
      <c r="C159" s="27" t="s">
        <v>267</v>
      </c>
      <c r="D159" s="27">
        <v>1140</v>
      </c>
      <c r="E159" s="44"/>
      <c r="F159" s="60">
        <v>43521</v>
      </c>
      <c r="G159" s="38" t="s">
        <v>29</v>
      </c>
      <c r="H159" s="28">
        <f t="shared" si="2"/>
        <v>2019</v>
      </c>
      <c r="I159" s="80"/>
    </row>
    <row r="160" spans="1:9" hidden="1">
      <c r="A160" s="43">
        <v>8205</v>
      </c>
      <c r="B160" s="26" t="s">
        <v>279</v>
      </c>
      <c r="C160" s="27" t="s">
        <v>267</v>
      </c>
      <c r="D160" s="27">
        <v>912</v>
      </c>
      <c r="E160" s="44"/>
      <c r="F160" s="60">
        <v>43521</v>
      </c>
      <c r="G160" s="38" t="s">
        <v>29</v>
      </c>
      <c r="H160" s="28">
        <f t="shared" si="2"/>
        <v>2019</v>
      </c>
      <c r="I160" s="80"/>
    </row>
    <row r="161" spans="1:9" hidden="1">
      <c r="A161" s="43">
        <v>8207</v>
      </c>
      <c r="B161" s="26" t="s">
        <v>281</v>
      </c>
      <c r="C161" s="27" t="s">
        <v>267</v>
      </c>
      <c r="D161" s="27">
        <v>912</v>
      </c>
      <c r="E161" s="44"/>
      <c r="F161" s="60">
        <v>43521</v>
      </c>
      <c r="G161" s="38" t="s">
        <v>29</v>
      </c>
      <c r="H161" s="28">
        <f t="shared" si="2"/>
        <v>2019</v>
      </c>
      <c r="I161" s="80"/>
    </row>
    <row r="162" spans="1:9" hidden="1">
      <c r="A162" s="43">
        <v>8208</v>
      </c>
      <c r="B162" s="26" t="s">
        <v>282</v>
      </c>
      <c r="C162" s="27" t="s">
        <v>267</v>
      </c>
      <c r="D162" s="27">
        <v>912</v>
      </c>
      <c r="E162" s="44"/>
      <c r="F162" s="60">
        <v>43521</v>
      </c>
      <c r="G162" s="38" t="s">
        <v>29</v>
      </c>
      <c r="H162" s="28">
        <f t="shared" si="2"/>
        <v>2019</v>
      </c>
      <c r="I162" s="80"/>
    </row>
    <row r="163" spans="1:9" hidden="1">
      <c r="A163" s="43">
        <v>8209</v>
      </c>
      <c r="B163" s="26" t="s">
        <v>306</v>
      </c>
      <c r="C163" s="27" t="s">
        <v>267</v>
      </c>
      <c r="D163" s="27">
        <v>456</v>
      </c>
      <c r="E163" s="44"/>
      <c r="F163" s="60">
        <v>43739</v>
      </c>
      <c r="G163" s="38" t="s">
        <v>29</v>
      </c>
      <c r="H163" s="28">
        <f t="shared" si="2"/>
        <v>2019</v>
      </c>
      <c r="I163" s="80"/>
    </row>
    <row r="164" spans="1:9" hidden="1">
      <c r="A164" s="43">
        <v>8210</v>
      </c>
      <c r="B164" s="26" t="s">
        <v>284</v>
      </c>
      <c r="C164" s="27" t="s">
        <v>267</v>
      </c>
      <c r="D164" s="27">
        <v>912</v>
      </c>
      <c r="E164" s="44"/>
      <c r="F164" s="60">
        <v>43739</v>
      </c>
      <c r="G164" s="38" t="s">
        <v>29</v>
      </c>
      <c r="H164" s="28">
        <f t="shared" si="2"/>
        <v>2019</v>
      </c>
      <c r="I164" s="80"/>
    </row>
    <row r="165" spans="1:9" hidden="1">
      <c r="A165" s="43">
        <v>8211</v>
      </c>
      <c r="B165" s="26" t="s">
        <v>285</v>
      </c>
      <c r="C165" s="27" t="s">
        <v>267</v>
      </c>
      <c r="D165" s="27">
        <v>912</v>
      </c>
      <c r="E165" s="44"/>
      <c r="F165" s="60">
        <v>43739</v>
      </c>
      <c r="G165" s="38" t="s">
        <v>29</v>
      </c>
      <c r="H165" s="28">
        <f t="shared" si="2"/>
        <v>2019</v>
      </c>
      <c r="I165" s="80"/>
    </row>
    <row r="166" spans="1:9" hidden="1">
      <c r="A166" s="43">
        <v>8212</v>
      </c>
      <c r="B166" s="26" t="s">
        <v>286</v>
      </c>
      <c r="C166" s="27" t="s">
        <v>267</v>
      </c>
      <c r="D166" s="27">
        <v>1368</v>
      </c>
      <c r="E166" s="44"/>
      <c r="F166" s="60">
        <v>43521</v>
      </c>
      <c r="G166" s="38" t="s">
        <v>29</v>
      </c>
      <c r="H166" s="28">
        <f t="shared" si="2"/>
        <v>2019</v>
      </c>
      <c r="I166" s="80"/>
    </row>
    <row r="167" spans="1:9" hidden="1">
      <c r="A167" s="43">
        <v>8213</v>
      </c>
      <c r="B167" s="26" t="s">
        <v>260</v>
      </c>
      <c r="C167" s="27" t="s">
        <v>294</v>
      </c>
      <c r="D167" s="27">
        <v>1140</v>
      </c>
      <c r="E167" s="44"/>
      <c r="F167" s="60">
        <v>43521</v>
      </c>
      <c r="G167" s="38" t="s">
        <v>29</v>
      </c>
      <c r="H167" s="28">
        <f t="shared" si="2"/>
        <v>2019</v>
      </c>
      <c r="I167" s="80"/>
    </row>
    <row r="168" spans="1:9" hidden="1">
      <c r="A168" s="43">
        <v>8214</v>
      </c>
      <c r="B168" s="26" t="s">
        <v>261</v>
      </c>
      <c r="C168" s="27" t="s">
        <v>294</v>
      </c>
      <c r="D168" s="27">
        <v>1140</v>
      </c>
      <c r="E168" s="44"/>
      <c r="F168" s="60">
        <v>43739</v>
      </c>
      <c r="G168" s="38" t="s">
        <v>29</v>
      </c>
      <c r="H168" s="28">
        <f t="shared" si="2"/>
        <v>2019</v>
      </c>
      <c r="I168" s="80"/>
    </row>
    <row r="169" spans="1:9" hidden="1">
      <c r="A169" s="43">
        <v>8215</v>
      </c>
      <c r="B169" s="26" t="s">
        <v>318</v>
      </c>
      <c r="C169" s="27" t="s">
        <v>248</v>
      </c>
      <c r="D169" s="27">
        <v>3112</v>
      </c>
      <c r="E169" s="44"/>
      <c r="F169" s="60">
        <v>43521</v>
      </c>
      <c r="G169" s="38" t="s">
        <v>29</v>
      </c>
      <c r="H169" s="28">
        <f t="shared" si="2"/>
        <v>2019</v>
      </c>
      <c r="I169" s="80"/>
    </row>
    <row r="170" spans="1:9" hidden="1">
      <c r="A170" s="43">
        <v>8216</v>
      </c>
      <c r="B170" s="26" t="s">
        <v>319</v>
      </c>
      <c r="C170" s="27" t="s">
        <v>248</v>
      </c>
      <c r="D170" s="27">
        <v>3112</v>
      </c>
      <c r="E170" s="44"/>
      <c r="F170" s="60">
        <v>43739</v>
      </c>
      <c r="G170" s="38" t="s">
        <v>29</v>
      </c>
      <c r="H170" s="28">
        <f t="shared" si="2"/>
        <v>2019</v>
      </c>
      <c r="I170" s="80"/>
    </row>
    <row r="171" spans="1:9" hidden="1">
      <c r="A171" s="43">
        <v>8217</v>
      </c>
      <c r="B171" s="26" t="s">
        <v>320</v>
      </c>
      <c r="C171" s="27" t="s">
        <v>248</v>
      </c>
      <c r="D171" s="27">
        <v>2334</v>
      </c>
      <c r="E171" s="44"/>
      <c r="F171" s="60">
        <v>43739</v>
      </c>
      <c r="G171" s="38" t="s">
        <v>29</v>
      </c>
      <c r="H171" s="28">
        <f t="shared" si="2"/>
        <v>2019</v>
      </c>
      <c r="I171" s="80"/>
    </row>
    <row r="172" spans="1:9" hidden="1">
      <c r="A172" s="43">
        <v>8218</v>
      </c>
      <c r="B172" s="26" t="s">
        <v>321</v>
      </c>
      <c r="C172" s="27" t="s">
        <v>248</v>
      </c>
      <c r="D172" s="27">
        <v>3112</v>
      </c>
      <c r="E172" s="44"/>
      <c r="F172" s="60">
        <v>43739</v>
      </c>
      <c r="G172" s="38" t="s">
        <v>29</v>
      </c>
      <c r="H172" s="28">
        <f t="shared" si="2"/>
        <v>2019</v>
      </c>
      <c r="I172" s="80"/>
    </row>
    <row r="173" spans="1:9" hidden="1">
      <c r="A173" s="43">
        <v>8219</v>
      </c>
      <c r="B173" s="26" t="s">
        <v>322</v>
      </c>
      <c r="C173" s="27" t="s">
        <v>248</v>
      </c>
      <c r="D173" s="27">
        <v>778</v>
      </c>
      <c r="E173" s="44"/>
      <c r="F173" s="60">
        <v>43521</v>
      </c>
      <c r="G173" s="38" t="s">
        <v>29</v>
      </c>
      <c r="H173" s="28">
        <f t="shared" si="2"/>
        <v>2019</v>
      </c>
      <c r="I173" s="80"/>
    </row>
    <row r="174" spans="1:9" hidden="1">
      <c r="A174" s="43">
        <v>8220</v>
      </c>
      <c r="B174" s="26" t="s">
        <v>323</v>
      </c>
      <c r="C174" s="27" t="s">
        <v>248</v>
      </c>
      <c r="D174" s="27">
        <v>3112</v>
      </c>
      <c r="E174" s="44"/>
      <c r="F174" s="60">
        <v>43983</v>
      </c>
      <c r="G174" s="38" t="s">
        <v>29</v>
      </c>
      <c r="H174" s="28">
        <f t="shared" si="2"/>
        <v>2020</v>
      </c>
      <c r="I174" s="80"/>
    </row>
    <row r="175" spans="1:9" hidden="1">
      <c r="A175" s="43">
        <v>8221</v>
      </c>
      <c r="B175" s="26" t="s">
        <v>200</v>
      </c>
      <c r="C175" s="27" t="s">
        <v>248</v>
      </c>
      <c r="D175" s="27">
        <v>3112</v>
      </c>
      <c r="E175" s="44"/>
      <c r="F175" s="60">
        <v>43983</v>
      </c>
      <c r="G175" s="38" t="s">
        <v>29</v>
      </c>
      <c r="H175" s="28">
        <f t="shared" si="2"/>
        <v>2020</v>
      </c>
      <c r="I175" s="80"/>
    </row>
    <row r="176" spans="1:9" hidden="1">
      <c r="A176" s="43">
        <v>8222</v>
      </c>
      <c r="B176" s="26" t="s">
        <v>80</v>
      </c>
      <c r="C176" s="27" t="s">
        <v>248</v>
      </c>
      <c r="D176" s="27">
        <v>3112</v>
      </c>
      <c r="E176" s="44"/>
      <c r="F176" s="60">
        <v>43983</v>
      </c>
      <c r="G176" s="38" t="s">
        <v>29</v>
      </c>
      <c r="H176" s="28">
        <f t="shared" si="2"/>
        <v>2020</v>
      </c>
      <c r="I176" s="80"/>
    </row>
    <row r="177" spans="1:9" hidden="1">
      <c r="A177" s="43">
        <v>8223</v>
      </c>
      <c r="B177" s="26" t="s">
        <v>324</v>
      </c>
      <c r="C177" s="27" t="s">
        <v>248</v>
      </c>
      <c r="D177" s="27">
        <v>6224</v>
      </c>
      <c r="E177" s="44"/>
      <c r="F177" s="60">
        <v>43983</v>
      </c>
      <c r="G177" s="38" t="s">
        <v>29</v>
      </c>
      <c r="H177" s="28">
        <f t="shared" si="2"/>
        <v>2020</v>
      </c>
      <c r="I177" s="80"/>
    </row>
    <row r="178" spans="1:9" hidden="1">
      <c r="A178" s="43">
        <v>8229</v>
      </c>
      <c r="B178" s="26" t="s">
        <v>266</v>
      </c>
      <c r="C178" s="27" t="s">
        <v>294</v>
      </c>
      <c r="D178" s="27">
        <v>228</v>
      </c>
      <c r="E178" s="44"/>
      <c r="F178" s="60">
        <v>43983</v>
      </c>
      <c r="G178" s="38" t="s">
        <v>29</v>
      </c>
      <c r="H178" s="28">
        <f t="shared" si="2"/>
        <v>2020</v>
      </c>
      <c r="I178" s="80"/>
    </row>
    <row r="179" spans="1:9" hidden="1">
      <c r="A179" s="43">
        <v>8230</v>
      </c>
      <c r="B179" s="26" t="s">
        <v>207</v>
      </c>
      <c r="C179" s="27" t="s">
        <v>253</v>
      </c>
      <c r="D179" s="27">
        <v>4560</v>
      </c>
      <c r="E179" s="44"/>
      <c r="F179" s="60">
        <v>43983</v>
      </c>
      <c r="G179" s="38" t="s">
        <v>29</v>
      </c>
      <c r="H179" s="28">
        <f t="shared" si="2"/>
        <v>2020</v>
      </c>
      <c r="I179" s="80"/>
    </row>
    <row r="180" spans="1:9" hidden="1">
      <c r="A180" s="43">
        <v>8231</v>
      </c>
      <c r="B180" s="47" t="s">
        <v>195</v>
      </c>
      <c r="C180" s="33" t="s">
        <v>248</v>
      </c>
      <c r="D180" s="33">
        <v>3112</v>
      </c>
      <c r="E180" s="56"/>
      <c r="F180" s="60">
        <v>43983</v>
      </c>
      <c r="G180" s="38" t="s">
        <v>29</v>
      </c>
      <c r="H180" s="28">
        <f t="shared" si="2"/>
        <v>2020</v>
      </c>
      <c r="I180" s="80"/>
    </row>
    <row r="181" spans="1:9" hidden="1">
      <c r="A181" s="43">
        <v>8233</v>
      </c>
      <c r="B181" s="26" t="s">
        <v>211</v>
      </c>
      <c r="C181" s="27" t="s">
        <v>253</v>
      </c>
      <c r="D181" s="27">
        <v>1824</v>
      </c>
      <c r="E181" s="44"/>
      <c r="F181" s="60">
        <v>43983</v>
      </c>
      <c r="G181" s="38" t="s">
        <v>29</v>
      </c>
      <c r="H181" s="28">
        <f t="shared" si="2"/>
        <v>2020</v>
      </c>
      <c r="I181" s="80"/>
    </row>
    <row r="182" spans="1:9" hidden="1">
      <c r="A182" s="43">
        <v>8236</v>
      </c>
      <c r="B182" s="26" t="s">
        <v>202</v>
      </c>
      <c r="C182" s="27" t="s">
        <v>253</v>
      </c>
      <c r="D182" s="27">
        <v>1596</v>
      </c>
      <c r="E182" s="44"/>
      <c r="F182" s="60">
        <v>43983</v>
      </c>
      <c r="G182" s="38" t="s">
        <v>29</v>
      </c>
      <c r="H182" s="28">
        <f t="shared" ref="H182:H184" si="3">YEAR(F182)</f>
        <v>2020</v>
      </c>
      <c r="I182" s="80"/>
    </row>
    <row r="183" spans="1:9" hidden="1">
      <c r="A183" s="43">
        <v>8239</v>
      </c>
      <c r="B183" s="26" t="s">
        <v>312</v>
      </c>
      <c r="C183" s="27" t="s">
        <v>253</v>
      </c>
      <c r="D183" s="27">
        <v>912</v>
      </c>
      <c r="E183" s="44"/>
      <c r="F183" s="60">
        <v>43983</v>
      </c>
      <c r="G183" s="38" t="s">
        <v>29</v>
      </c>
      <c r="H183" s="28">
        <f t="shared" si="3"/>
        <v>2020</v>
      </c>
      <c r="I183" s="80"/>
    </row>
    <row r="184" spans="1:9" hidden="1">
      <c r="A184" s="43">
        <v>8247</v>
      </c>
      <c r="B184" s="26" t="s">
        <v>215</v>
      </c>
      <c r="C184" s="27" t="s">
        <v>267</v>
      </c>
      <c r="D184" s="27">
        <v>1368</v>
      </c>
      <c r="E184" s="44"/>
      <c r="F184" s="60">
        <v>43983</v>
      </c>
      <c r="G184" s="38" t="s">
        <v>29</v>
      </c>
      <c r="H184" s="28">
        <f t="shared" si="3"/>
        <v>2020</v>
      </c>
      <c r="I184" s="80"/>
    </row>
    <row r="185" spans="1:9" hidden="1">
      <c r="A185" s="43">
        <v>8252</v>
      </c>
      <c r="B185" s="26" t="s">
        <v>213</v>
      </c>
      <c r="C185" s="27" t="s">
        <v>267</v>
      </c>
      <c r="D185" s="27">
        <v>2280</v>
      </c>
      <c r="E185" s="44"/>
      <c r="F185" s="60">
        <v>43983</v>
      </c>
      <c r="G185" s="38" t="s">
        <v>29</v>
      </c>
      <c r="H185" s="28">
        <f t="shared" ref="H185:H191" si="4">YEAR(F185)</f>
        <v>2020</v>
      </c>
      <c r="I185" s="80"/>
    </row>
    <row r="186" spans="1:9" hidden="1">
      <c r="A186" s="43">
        <v>8259</v>
      </c>
      <c r="B186" s="26" t="s">
        <v>276</v>
      </c>
      <c r="C186" s="27" t="s">
        <v>294</v>
      </c>
      <c r="D186" s="27">
        <v>912</v>
      </c>
      <c r="E186" s="44"/>
      <c r="F186" s="60">
        <v>43983</v>
      </c>
      <c r="G186" s="38" t="s">
        <v>29</v>
      </c>
      <c r="H186" s="28">
        <f t="shared" si="4"/>
        <v>2020</v>
      </c>
      <c r="I186" s="80"/>
    </row>
    <row r="187" spans="1:9" hidden="1">
      <c r="A187" s="43">
        <v>8260</v>
      </c>
      <c r="B187" s="26" t="s">
        <v>325</v>
      </c>
      <c r="C187" s="27" t="s">
        <v>248</v>
      </c>
      <c r="D187" s="27">
        <v>10892</v>
      </c>
      <c r="E187" s="44"/>
      <c r="F187" s="60">
        <v>43983</v>
      </c>
      <c r="G187" s="38" t="s">
        <v>29</v>
      </c>
      <c r="H187" s="28">
        <f t="shared" si="4"/>
        <v>2020</v>
      </c>
      <c r="I187" s="80"/>
    </row>
    <row r="188" spans="1:9" hidden="1">
      <c r="A188" s="43">
        <v>8261</v>
      </c>
      <c r="B188" s="26" t="s">
        <v>197</v>
      </c>
      <c r="C188" s="27" t="s">
        <v>248</v>
      </c>
      <c r="D188" s="27">
        <v>8558</v>
      </c>
      <c r="E188" s="44"/>
      <c r="F188" s="60">
        <v>43926</v>
      </c>
      <c r="G188" s="38" t="s">
        <v>29</v>
      </c>
      <c r="H188" s="28">
        <f t="shared" si="4"/>
        <v>2020</v>
      </c>
      <c r="I188" s="80"/>
    </row>
    <row r="189" spans="1:9" hidden="1">
      <c r="A189" s="43">
        <v>8262</v>
      </c>
      <c r="B189" s="26" t="s">
        <v>326</v>
      </c>
      <c r="C189" s="27" t="s">
        <v>248</v>
      </c>
      <c r="D189" s="27">
        <v>3112</v>
      </c>
      <c r="E189" s="44"/>
      <c r="F189" s="60">
        <v>43926</v>
      </c>
      <c r="G189" s="38" t="s">
        <v>29</v>
      </c>
      <c r="H189" s="28">
        <f t="shared" si="4"/>
        <v>2020</v>
      </c>
      <c r="I189" s="80"/>
    </row>
    <row r="190" spans="1:9" hidden="1">
      <c r="A190" s="43">
        <v>8263</v>
      </c>
      <c r="B190" s="26" t="s">
        <v>324</v>
      </c>
      <c r="C190" s="27" t="s">
        <v>253</v>
      </c>
      <c r="D190" s="27">
        <v>1824</v>
      </c>
      <c r="E190" s="44"/>
      <c r="F190" s="60">
        <v>43926</v>
      </c>
      <c r="G190" s="38" t="s">
        <v>29</v>
      </c>
      <c r="H190" s="28">
        <f t="shared" si="4"/>
        <v>2020</v>
      </c>
      <c r="I190" s="80"/>
    </row>
    <row r="191" spans="1:9" hidden="1">
      <c r="A191" s="43">
        <v>8264</v>
      </c>
      <c r="B191" s="26" t="s">
        <v>80</v>
      </c>
      <c r="C191" s="27" t="s">
        <v>253</v>
      </c>
      <c r="D191" s="27">
        <v>912</v>
      </c>
      <c r="E191" s="44"/>
      <c r="F191" s="60">
        <v>43926</v>
      </c>
      <c r="G191" s="38" t="s">
        <v>29</v>
      </c>
      <c r="H191" s="28">
        <f t="shared" si="4"/>
        <v>2020</v>
      </c>
      <c r="I191" s="80"/>
    </row>
    <row r="192" spans="1:9" hidden="1">
      <c r="A192" s="43">
        <v>8266</v>
      </c>
      <c r="B192" s="26" t="s">
        <v>323</v>
      </c>
      <c r="C192" s="27" t="s">
        <v>253</v>
      </c>
      <c r="D192" s="27">
        <v>912</v>
      </c>
      <c r="E192" s="44"/>
      <c r="F192" s="60">
        <v>43926</v>
      </c>
      <c r="G192" s="38" t="s">
        <v>29</v>
      </c>
      <c r="H192" s="28">
        <f t="shared" ref="H192:H204" si="5">YEAR(F192)</f>
        <v>2020</v>
      </c>
      <c r="I192" s="80"/>
    </row>
    <row r="193" spans="1:9" hidden="1">
      <c r="A193" s="43">
        <v>8267</v>
      </c>
      <c r="B193" s="48" t="s">
        <v>167</v>
      </c>
      <c r="C193" s="27" t="s">
        <v>253</v>
      </c>
      <c r="D193" s="27">
        <v>228</v>
      </c>
      <c r="E193" s="44"/>
      <c r="F193" s="60">
        <v>43926</v>
      </c>
      <c r="G193" s="38" t="s">
        <v>29</v>
      </c>
      <c r="H193" s="28">
        <f t="shared" si="5"/>
        <v>2020</v>
      </c>
      <c r="I193" s="80"/>
    </row>
    <row r="194" spans="1:9" hidden="1">
      <c r="A194" s="43">
        <v>8268</v>
      </c>
      <c r="B194" s="26" t="s">
        <v>278</v>
      </c>
      <c r="C194" s="27" t="s">
        <v>294</v>
      </c>
      <c r="D194" s="27">
        <v>1140</v>
      </c>
      <c r="E194" s="44"/>
      <c r="F194" s="60">
        <v>43926</v>
      </c>
      <c r="G194" s="38" t="s">
        <v>29</v>
      </c>
      <c r="H194" s="28">
        <f t="shared" si="5"/>
        <v>2020</v>
      </c>
      <c r="I194" s="80"/>
    </row>
    <row r="195" spans="1:9" hidden="1">
      <c r="A195" s="43">
        <v>8269</v>
      </c>
      <c r="B195" s="26" t="s">
        <v>181</v>
      </c>
      <c r="C195" s="27" t="s">
        <v>248</v>
      </c>
      <c r="D195" s="27">
        <v>6224</v>
      </c>
      <c r="E195" s="44"/>
      <c r="F195" s="60">
        <v>43836</v>
      </c>
      <c r="G195" s="38" t="s">
        <v>29</v>
      </c>
      <c r="H195" s="28">
        <f t="shared" si="5"/>
        <v>2020</v>
      </c>
      <c r="I195" s="80"/>
    </row>
    <row r="196" spans="1:9" hidden="1">
      <c r="A196" s="43">
        <v>8270</v>
      </c>
      <c r="B196" s="26" t="s">
        <v>178</v>
      </c>
      <c r="C196" s="27" t="s">
        <v>248</v>
      </c>
      <c r="D196" s="27">
        <v>9336</v>
      </c>
      <c r="E196" s="44"/>
      <c r="F196" s="60">
        <v>44095</v>
      </c>
      <c r="G196" s="38" t="s">
        <v>29</v>
      </c>
      <c r="H196" s="28">
        <f t="shared" si="5"/>
        <v>2020</v>
      </c>
      <c r="I196" s="80"/>
    </row>
    <row r="197" spans="1:9" hidden="1">
      <c r="A197" s="43">
        <v>8271</v>
      </c>
      <c r="B197" s="26" t="s">
        <v>207</v>
      </c>
      <c r="C197" s="27" t="s">
        <v>267</v>
      </c>
      <c r="D197" s="27">
        <v>4560</v>
      </c>
      <c r="E197" s="44"/>
      <c r="F197" s="60">
        <v>44117</v>
      </c>
      <c r="G197" s="38" t="s">
        <v>29</v>
      </c>
      <c r="H197" s="28">
        <f t="shared" si="5"/>
        <v>2020</v>
      </c>
      <c r="I197" s="80"/>
    </row>
    <row r="198" spans="1:9" hidden="1">
      <c r="A198" s="43">
        <v>8272</v>
      </c>
      <c r="B198" s="26" t="s">
        <v>211</v>
      </c>
      <c r="C198" s="27" t="s">
        <v>267</v>
      </c>
      <c r="D198" s="27">
        <v>1824</v>
      </c>
      <c r="E198" s="44"/>
      <c r="F198" s="60">
        <v>43836</v>
      </c>
      <c r="G198" s="38" t="s">
        <v>29</v>
      </c>
      <c r="H198" s="28">
        <f t="shared" si="5"/>
        <v>2020</v>
      </c>
      <c r="I198" s="80"/>
    </row>
    <row r="199" spans="1:9" hidden="1">
      <c r="A199" s="43">
        <v>8273</v>
      </c>
      <c r="B199" s="26" t="s">
        <v>202</v>
      </c>
      <c r="C199" s="27" t="s">
        <v>267</v>
      </c>
      <c r="D199" s="27">
        <v>1596</v>
      </c>
      <c r="E199" s="44"/>
      <c r="F199" s="60">
        <v>44117</v>
      </c>
      <c r="G199" s="38" t="s">
        <v>29</v>
      </c>
      <c r="H199" s="28">
        <f t="shared" si="5"/>
        <v>2020</v>
      </c>
      <c r="I199" s="80"/>
    </row>
    <row r="200" spans="1:9" hidden="1">
      <c r="A200" s="43">
        <v>8274</v>
      </c>
      <c r="B200" s="26" t="s">
        <v>312</v>
      </c>
      <c r="C200" s="27" t="s">
        <v>267</v>
      </c>
      <c r="D200" s="27">
        <v>912</v>
      </c>
      <c r="E200" s="44"/>
      <c r="F200" s="60">
        <v>43836</v>
      </c>
      <c r="G200" s="38" t="s">
        <v>29</v>
      </c>
      <c r="H200" s="28">
        <f t="shared" si="5"/>
        <v>2020</v>
      </c>
      <c r="I200" s="80"/>
    </row>
    <row r="201" spans="1:9" hidden="1">
      <c r="A201" s="43">
        <v>8275</v>
      </c>
      <c r="B201" s="26" t="s">
        <v>266</v>
      </c>
      <c r="C201" s="27" t="s">
        <v>248</v>
      </c>
      <c r="D201" s="27">
        <v>6224</v>
      </c>
      <c r="E201" s="44"/>
      <c r="F201" s="60">
        <v>44165</v>
      </c>
      <c r="G201" s="38" t="s">
        <v>29</v>
      </c>
      <c r="H201" s="28">
        <f t="shared" si="5"/>
        <v>2020</v>
      </c>
      <c r="I201" s="80"/>
    </row>
    <row r="202" spans="1:9" hidden="1">
      <c r="A202" s="43">
        <v>8276</v>
      </c>
      <c r="B202" s="26" t="s">
        <v>215</v>
      </c>
      <c r="C202" s="27" t="s">
        <v>294</v>
      </c>
      <c r="D202" s="27">
        <v>1368</v>
      </c>
      <c r="E202" s="44"/>
      <c r="F202" s="60">
        <v>44041</v>
      </c>
      <c r="G202" s="38" t="s">
        <v>29</v>
      </c>
      <c r="H202" s="28">
        <f t="shared" si="5"/>
        <v>2020</v>
      </c>
      <c r="I202" s="80"/>
    </row>
    <row r="203" spans="1:9" hidden="1">
      <c r="A203" s="43">
        <v>8277</v>
      </c>
      <c r="B203" s="26" t="s">
        <v>325</v>
      </c>
      <c r="C203" s="27" t="s">
        <v>253</v>
      </c>
      <c r="D203" s="27">
        <v>3192</v>
      </c>
      <c r="E203" s="44"/>
      <c r="F203" s="60">
        <v>44041</v>
      </c>
      <c r="G203" s="38" t="s">
        <v>29</v>
      </c>
      <c r="H203" s="28">
        <f t="shared" si="5"/>
        <v>2020</v>
      </c>
      <c r="I203" s="80"/>
    </row>
    <row r="204" spans="1:9" hidden="1">
      <c r="A204" s="43">
        <v>8278</v>
      </c>
      <c r="B204" s="26" t="s">
        <v>187</v>
      </c>
      <c r="C204" s="27" t="s">
        <v>248</v>
      </c>
      <c r="D204" s="27">
        <v>1750</v>
      </c>
      <c r="E204" s="44"/>
      <c r="F204" s="60">
        <v>44041</v>
      </c>
      <c r="G204" s="38" t="s">
        <v>29</v>
      </c>
      <c r="H204" s="28">
        <f t="shared" si="5"/>
        <v>2020</v>
      </c>
      <c r="I204" s="80"/>
    </row>
    <row r="205" spans="1:9" hidden="1">
      <c r="A205" s="43">
        <v>8281</v>
      </c>
      <c r="B205" s="26" t="s">
        <v>327</v>
      </c>
      <c r="C205" s="27" t="s">
        <v>267</v>
      </c>
      <c r="D205" s="27">
        <v>684</v>
      </c>
      <c r="E205" s="44"/>
      <c r="F205" s="60">
        <v>44041</v>
      </c>
      <c r="G205" s="38" t="s">
        <v>29</v>
      </c>
      <c r="H205" s="28">
        <f t="shared" ref="H205:H268" si="6">YEAR(F205)</f>
        <v>2020</v>
      </c>
      <c r="I205" s="80"/>
    </row>
    <row r="206" spans="1:9" hidden="1">
      <c r="A206" s="43">
        <v>8282</v>
      </c>
      <c r="B206" s="26" t="s">
        <v>286</v>
      </c>
      <c r="C206" s="27" t="s">
        <v>294</v>
      </c>
      <c r="D206" s="27">
        <v>1368</v>
      </c>
      <c r="E206" s="44"/>
      <c r="F206" s="60">
        <v>44041</v>
      </c>
      <c r="G206" s="38" t="s">
        <v>29</v>
      </c>
      <c r="H206" s="28">
        <f t="shared" si="6"/>
        <v>2020</v>
      </c>
      <c r="I206" s="80"/>
    </row>
    <row r="207" spans="1:9" hidden="1">
      <c r="A207" s="43">
        <v>8283</v>
      </c>
      <c r="B207" s="26" t="s">
        <v>264</v>
      </c>
      <c r="C207" s="27" t="s">
        <v>293</v>
      </c>
      <c r="D207" s="27">
        <v>1463</v>
      </c>
      <c r="E207" s="44"/>
      <c r="F207" s="60">
        <v>44041</v>
      </c>
      <c r="G207" s="38" t="s">
        <v>29</v>
      </c>
      <c r="H207" s="28">
        <f t="shared" si="6"/>
        <v>2020</v>
      </c>
      <c r="I207" s="80"/>
    </row>
    <row r="208" spans="1:9" hidden="1">
      <c r="A208" s="43">
        <v>8284</v>
      </c>
      <c r="B208" s="26" t="s">
        <v>307</v>
      </c>
      <c r="C208" s="27" t="s">
        <v>267</v>
      </c>
      <c r="D208" s="27">
        <v>912</v>
      </c>
      <c r="E208" s="44"/>
      <c r="F208" s="60">
        <v>44769</v>
      </c>
      <c r="G208" s="38" t="s">
        <v>29</v>
      </c>
      <c r="H208" s="28">
        <f t="shared" si="6"/>
        <v>2022</v>
      </c>
      <c r="I208" s="80"/>
    </row>
    <row r="209" spans="1:9" hidden="1">
      <c r="A209" s="43">
        <v>8285</v>
      </c>
      <c r="B209" s="26" t="s">
        <v>257</v>
      </c>
      <c r="C209" s="27" t="s">
        <v>293</v>
      </c>
      <c r="D209" s="27">
        <v>665</v>
      </c>
      <c r="E209" s="44"/>
      <c r="F209" s="60">
        <v>44041</v>
      </c>
      <c r="G209" s="38" t="s">
        <v>29</v>
      </c>
      <c r="H209" s="28">
        <f t="shared" si="6"/>
        <v>2020</v>
      </c>
      <c r="I209" s="80"/>
    </row>
    <row r="210" spans="1:9" hidden="1">
      <c r="A210" s="43">
        <v>8286</v>
      </c>
      <c r="B210" s="26" t="s">
        <v>274</v>
      </c>
      <c r="C210" s="27" t="s">
        <v>293</v>
      </c>
      <c r="D210" s="27">
        <v>855</v>
      </c>
      <c r="E210" s="44"/>
      <c r="F210" s="60">
        <v>44041</v>
      </c>
      <c r="G210" s="38" t="s">
        <v>29</v>
      </c>
      <c r="H210" s="28">
        <f t="shared" si="6"/>
        <v>2020</v>
      </c>
      <c r="I210" s="80"/>
    </row>
    <row r="211" spans="1:9" hidden="1">
      <c r="A211" s="43">
        <v>8287</v>
      </c>
      <c r="B211" s="26" t="s">
        <v>328</v>
      </c>
      <c r="C211" s="27" t="s">
        <v>293</v>
      </c>
      <c r="D211" s="27">
        <v>684</v>
      </c>
      <c r="E211" s="44"/>
      <c r="F211" s="60">
        <v>44769</v>
      </c>
      <c r="G211" s="38" t="s">
        <v>29</v>
      </c>
      <c r="H211" s="28">
        <f t="shared" si="6"/>
        <v>2022</v>
      </c>
      <c r="I211" s="80"/>
    </row>
    <row r="212" spans="1:9" hidden="1">
      <c r="A212" s="43">
        <v>8288</v>
      </c>
      <c r="B212" s="26" t="s">
        <v>280</v>
      </c>
      <c r="C212" s="27" t="s">
        <v>294</v>
      </c>
      <c r="D212" s="27">
        <v>684</v>
      </c>
      <c r="E212" s="44"/>
      <c r="F212" s="60">
        <v>44769</v>
      </c>
      <c r="G212" s="38" t="s">
        <v>29</v>
      </c>
      <c r="H212" s="28">
        <f t="shared" si="6"/>
        <v>2022</v>
      </c>
      <c r="I212" s="80"/>
    </row>
    <row r="213" spans="1:9" hidden="1">
      <c r="A213" s="43">
        <v>8289</v>
      </c>
      <c r="B213" s="26" t="s">
        <v>284</v>
      </c>
      <c r="C213" s="27" t="s">
        <v>294</v>
      </c>
      <c r="D213" s="27">
        <v>912</v>
      </c>
      <c r="E213" s="44"/>
      <c r="F213" s="60">
        <v>44769</v>
      </c>
      <c r="G213" s="38" t="s">
        <v>29</v>
      </c>
      <c r="H213" s="28">
        <f t="shared" si="6"/>
        <v>2022</v>
      </c>
      <c r="I213" s="80"/>
    </row>
    <row r="214" spans="1:9" hidden="1">
      <c r="A214" s="43">
        <v>8290</v>
      </c>
      <c r="B214" s="26" t="s">
        <v>317</v>
      </c>
      <c r="C214" s="27" t="s">
        <v>267</v>
      </c>
      <c r="D214" s="27">
        <v>380</v>
      </c>
      <c r="E214" s="44"/>
      <c r="F214" s="60">
        <v>44117</v>
      </c>
      <c r="G214" s="38" t="s">
        <v>29</v>
      </c>
      <c r="H214" s="28">
        <f t="shared" si="6"/>
        <v>2020</v>
      </c>
      <c r="I214" s="80"/>
    </row>
    <row r="215" spans="1:9" hidden="1">
      <c r="A215" s="43">
        <v>8291</v>
      </c>
      <c r="B215" s="26" t="s">
        <v>318</v>
      </c>
      <c r="C215" s="27" t="s">
        <v>267</v>
      </c>
      <c r="D215" s="27">
        <v>304</v>
      </c>
      <c r="E215" s="44"/>
      <c r="F215" s="60">
        <v>44117</v>
      </c>
      <c r="G215" s="38" t="s">
        <v>29</v>
      </c>
      <c r="H215" s="28">
        <f t="shared" si="6"/>
        <v>2020</v>
      </c>
      <c r="I215" s="80"/>
    </row>
    <row r="216" spans="1:9" hidden="1">
      <c r="A216" s="43">
        <v>8292</v>
      </c>
      <c r="B216" s="26" t="s">
        <v>304</v>
      </c>
      <c r="C216" s="27" t="s">
        <v>294</v>
      </c>
      <c r="D216" s="27">
        <v>608</v>
      </c>
      <c r="E216" s="44"/>
      <c r="F216" s="60">
        <v>44117</v>
      </c>
      <c r="G216" s="38" t="s">
        <v>29</v>
      </c>
      <c r="H216" s="28">
        <f t="shared" si="6"/>
        <v>2020</v>
      </c>
      <c r="I216" s="80"/>
    </row>
    <row r="217" spans="1:9" hidden="1">
      <c r="A217" s="43">
        <v>8293</v>
      </c>
      <c r="B217" s="26" t="s">
        <v>217</v>
      </c>
      <c r="C217" s="27" t="s">
        <v>294</v>
      </c>
      <c r="D217" s="27">
        <v>380</v>
      </c>
      <c r="E217" s="44"/>
      <c r="F217" s="60">
        <v>44117</v>
      </c>
      <c r="G217" s="38" t="s">
        <v>29</v>
      </c>
      <c r="H217" s="28">
        <f t="shared" si="6"/>
        <v>2020</v>
      </c>
      <c r="I217" s="80"/>
    </row>
    <row r="218" spans="1:9" hidden="1">
      <c r="A218" s="43">
        <v>8294</v>
      </c>
      <c r="B218" s="26" t="s">
        <v>302</v>
      </c>
      <c r="C218" s="27" t="s">
        <v>294</v>
      </c>
      <c r="D218" s="27">
        <v>380</v>
      </c>
      <c r="E218" s="44"/>
      <c r="F218" s="60">
        <v>44117</v>
      </c>
      <c r="G218" s="38" t="s">
        <v>29</v>
      </c>
      <c r="H218" s="28">
        <f t="shared" si="6"/>
        <v>2020</v>
      </c>
      <c r="I218" s="80"/>
    </row>
    <row r="219" spans="1:9" hidden="1">
      <c r="A219" s="43">
        <v>8295</v>
      </c>
      <c r="B219" s="26" t="s">
        <v>301</v>
      </c>
      <c r="C219" s="27" t="s">
        <v>294</v>
      </c>
      <c r="D219" s="27">
        <v>456</v>
      </c>
      <c r="E219" s="44"/>
      <c r="F219" s="60">
        <v>44117</v>
      </c>
      <c r="G219" s="38" t="s">
        <v>29</v>
      </c>
      <c r="H219" s="28">
        <f t="shared" si="6"/>
        <v>2020</v>
      </c>
      <c r="I219" s="80"/>
    </row>
    <row r="220" spans="1:9" hidden="1">
      <c r="A220" s="43">
        <v>8296</v>
      </c>
      <c r="B220" s="26" t="s">
        <v>275</v>
      </c>
      <c r="C220" s="27" t="s">
        <v>293</v>
      </c>
      <c r="D220" s="27">
        <v>456</v>
      </c>
      <c r="E220" s="44"/>
      <c r="F220" s="60">
        <v>44117</v>
      </c>
      <c r="G220" s="38" t="s">
        <v>29</v>
      </c>
      <c r="H220" s="28">
        <f t="shared" si="6"/>
        <v>2020</v>
      </c>
      <c r="I220" s="80"/>
    </row>
    <row r="221" spans="1:9" hidden="1">
      <c r="A221" s="43">
        <v>8297</v>
      </c>
      <c r="B221" s="26" t="s">
        <v>308</v>
      </c>
      <c r="C221" s="27" t="s">
        <v>267</v>
      </c>
      <c r="D221" s="27">
        <v>456</v>
      </c>
      <c r="E221" s="44"/>
      <c r="F221" s="60">
        <v>44769</v>
      </c>
      <c r="G221" s="38" t="s">
        <v>29</v>
      </c>
      <c r="H221" s="28">
        <f t="shared" si="6"/>
        <v>2022</v>
      </c>
      <c r="I221" s="80"/>
    </row>
    <row r="222" spans="1:9" hidden="1">
      <c r="A222" s="43">
        <v>8298</v>
      </c>
      <c r="B222" s="26" t="s">
        <v>329</v>
      </c>
      <c r="C222" s="27" t="s">
        <v>267</v>
      </c>
      <c r="D222" s="27">
        <v>760</v>
      </c>
      <c r="E222" s="44"/>
      <c r="F222" s="60">
        <v>43840</v>
      </c>
      <c r="G222" s="38" t="s">
        <v>29</v>
      </c>
      <c r="H222" s="28">
        <f t="shared" si="6"/>
        <v>2020</v>
      </c>
      <c r="I222" s="80"/>
    </row>
    <row r="223" spans="1:9" hidden="1">
      <c r="A223" s="43">
        <v>8299</v>
      </c>
      <c r="B223" s="26" t="s">
        <v>299</v>
      </c>
      <c r="C223" s="27" t="s">
        <v>294</v>
      </c>
      <c r="D223" s="27">
        <v>304</v>
      </c>
      <c r="E223" s="44"/>
      <c r="F223" s="60">
        <v>43993</v>
      </c>
      <c r="G223" s="38" t="s">
        <v>29</v>
      </c>
      <c r="H223" s="28">
        <f t="shared" si="6"/>
        <v>2020</v>
      </c>
      <c r="I223" s="80"/>
    </row>
    <row r="224" spans="1:9" hidden="1">
      <c r="A224" s="43">
        <v>8300</v>
      </c>
      <c r="B224" s="26" t="s">
        <v>274</v>
      </c>
      <c r="C224" s="27" t="s">
        <v>294</v>
      </c>
      <c r="D224" s="27">
        <v>1050</v>
      </c>
      <c r="E224" s="44"/>
      <c r="F224" s="60">
        <v>43993</v>
      </c>
      <c r="G224" s="38" t="s">
        <v>29</v>
      </c>
      <c r="H224" s="28">
        <f t="shared" si="6"/>
        <v>2020</v>
      </c>
      <c r="I224" s="80"/>
    </row>
    <row r="225" spans="1:9" hidden="1">
      <c r="A225" s="43">
        <v>8301</v>
      </c>
      <c r="B225" s="26" t="s">
        <v>330</v>
      </c>
      <c r="C225" s="27" t="s">
        <v>248</v>
      </c>
      <c r="D225" s="27">
        <v>17116</v>
      </c>
      <c r="E225" s="44"/>
      <c r="F225" s="60">
        <v>44194</v>
      </c>
      <c r="G225" s="38" t="s">
        <v>29</v>
      </c>
      <c r="H225" s="28">
        <f t="shared" si="6"/>
        <v>2020</v>
      </c>
      <c r="I225" s="80"/>
    </row>
    <row r="226" spans="1:9" hidden="1">
      <c r="A226" s="43">
        <v>8302</v>
      </c>
      <c r="B226" s="26" t="s">
        <v>331</v>
      </c>
      <c r="C226" s="27" t="s">
        <v>248</v>
      </c>
      <c r="D226" s="27">
        <v>1556</v>
      </c>
      <c r="E226" s="44"/>
      <c r="F226" s="60">
        <v>43993</v>
      </c>
      <c r="G226" s="38" t="s">
        <v>29</v>
      </c>
      <c r="H226" s="28">
        <f t="shared" si="6"/>
        <v>2020</v>
      </c>
      <c r="I226" s="80"/>
    </row>
    <row r="227" spans="1:9" hidden="1">
      <c r="A227" s="43">
        <v>8303</v>
      </c>
      <c r="B227" s="26" t="s">
        <v>209</v>
      </c>
      <c r="C227" s="27" t="s">
        <v>294</v>
      </c>
      <c r="D227" s="27">
        <v>3648</v>
      </c>
      <c r="E227" s="44"/>
      <c r="F227" s="60">
        <v>43993</v>
      </c>
      <c r="G227" s="38" t="s">
        <v>29</v>
      </c>
      <c r="H227" s="28">
        <f t="shared" si="6"/>
        <v>2020</v>
      </c>
      <c r="I227" s="80"/>
    </row>
    <row r="228" spans="1:9" hidden="1">
      <c r="A228" s="43">
        <v>8304</v>
      </c>
      <c r="B228" s="26" t="s">
        <v>213</v>
      </c>
      <c r="C228" s="27" t="s">
        <v>294</v>
      </c>
      <c r="D228" s="27">
        <v>2280</v>
      </c>
      <c r="E228" s="44"/>
      <c r="F228" s="60">
        <v>43993</v>
      </c>
      <c r="G228" s="38" t="s">
        <v>29</v>
      </c>
      <c r="H228" s="28">
        <f t="shared" si="6"/>
        <v>2020</v>
      </c>
      <c r="I228" s="80"/>
    </row>
    <row r="229" spans="1:9" hidden="1">
      <c r="A229" s="43">
        <v>8305</v>
      </c>
      <c r="B229" s="26" t="s">
        <v>310</v>
      </c>
      <c r="C229" s="27" t="s">
        <v>294</v>
      </c>
      <c r="D229" s="27">
        <v>912</v>
      </c>
      <c r="E229" s="44"/>
      <c r="F229" s="60">
        <v>43993</v>
      </c>
      <c r="G229" s="38" t="s">
        <v>29</v>
      </c>
      <c r="H229" s="28">
        <f t="shared" si="6"/>
        <v>2020</v>
      </c>
      <c r="I229" s="80"/>
    </row>
    <row r="230" spans="1:9" hidden="1">
      <c r="A230" s="43">
        <v>8307</v>
      </c>
      <c r="B230" s="26" t="s">
        <v>281</v>
      </c>
      <c r="C230" s="27" t="s">
        <v>294</v>
      </c>
      <c r="D230" s="27">
        <v>912</v>
      </c>
      <c r="E230" s="44"/>
      <c r="F230" s="60">
        <v>44165</v>
      </c>
      <c r="G230" s="38" t="s">
        <v>29</v>
      </c>
      <c r="H230" s="28">
        <f t="shared" si="6"/>
        <v>2020</v>
      </c>
      <c r="I230" s="80"/>
    </row>
    <row r="231" spans="1:9" hidden="1">
      <c r="A231" s="43">
        <v>8308</v>
      </c>
      <c r="B231" s="26" t="s">
        <v>317</v>
      </c>
      <c r="C231" s="27" t="s">
        <v>267</v>
      </c>
      <c r="D231" s="27">
        <v>1140</v>
      </c>
      <c r="E231" s="44"/>
      <c r="F231" s="60">
        <v>44165</v>
      </c>
      <c r="G231" s="38" t="s">
        <v>29</v>
      </c>
      <c r="H231" s="28">
        <f t="shared" si="6"/>
        <v>2020</v>
      </c>
      <c r="I231" s="80"/>
    </row>
    <row r="232" spans="1:9" hidden="1">
      <c r="A232" s="43">
        <v>8309</v>
      </c>
      <c r="B232" s="26" t="s">
        <v>318</v>
      </c>
      <c r="C232" s="27" t="s">
        <v>267</v>
      </c>
      <c r="D232" s="27">
        <v>912</v>
      </c>
      <c r="E232" s="44"/>
      <c r="F232" s="60">
        <v>44262</v>
      </c>
      <c r="G232" s="38" t="s">
        <v>29</v>
      </c>
      <c r="H232" s="28">
        <f t="shared" si="6"/>
        <v>2021</v>
      </c>
      <c r="I232" s="80"/>
    </row>
    <row r="233" spans="1:9" hidden="1">
      <c r="A233" s="43">
        <v>8310</v>
      </c>
      <c r="B233" s="26" t="s">
        <v>304</v>
      </c>
      <c r="C233" s="27" t="s">
        <v>294</v>
      </c>
      <c r="D233" s="27">
        <v>1824</v>
      </c>
      <c r="E233" s="44"/>
      <c r="F233" s="60">
        <v>44165</v>
      </c>
      <c r="G233" s="38" t="s">
        <v>29</v>
      </c>
      <c r="H233" s="28">
        <f t="shared" si="6"/>
        <v>2020</v>
      </c>
      <c r="I233" s="80"/>
    </row>
    <row r="234" spans="1:9" hidden="1">
      <c r="A234" s="43">
        <v>8311</v>
      </c>
      <c r="B234" s="26" t="s">
        <v>217</v>
      </c>
      <c r="C234" s="27" t="s">
        <v>294</v>
      </c>
      <c r="D234" s="27">
        <v>1140</v>
      </c>
      <c r="E234" s="44"/>
      <c r="F234" s="60">
        <v>44262</v>
      </c>
      <c r="G234" s="38" t="s">
        <v>29</v>
      </c>
      <c r="H234" s="28">
        <f t="shared" si="6"/>
        <v>2021</v>
      </c>
      <c r="I234" s="80"/>
    </row>
    <row r="235" spans="1:9" hidden="1">
      <c r="A235" s="43">
        <v>8312</v>
      </c>
      <c r="B235" s="26" t="s">
        <v>302</v>
      </c>
      <c r="C235" s="27" t="s">
        <v>294</v>
      </c>
      <c r="D235" s="27">
        <v>1140</v>
      </c>
      <c r="E235" s="44"/>
      <c r="F235" s="60">
        <v>44262</v>
      </c>
      <c r="G235" s="38" t="s">
        <v>29</v>
      </c>
      <c r="H235" s="28">
        <f t="shared" si="6"/>
        <v>2021</v>
      </c>
      <c r="I235" s="80"/>
    </row>
    <row r="236" spans="1:9" hidden="1">
      <c r="A236" s="43">
        <v>8313</v>
      </c>
      <c r="B236" s="26" t="s">
        <v>301</v>
      </c>
      <c r="C236" s="27" t="s">
        <v>294</v>
      </c>
      <c r="D236" s="27">
        <v>1026</v>
      </c>
      <c r="E236" s="44"/>
      <c r="F236" s="60">
        <v>44769</v>
      </c>
      <c r="G236" s="38" t="s">
        <v>29</v>
      </c>
      <c r="H236" s="28">
        <f t="shared" si="6"/>
        <v>2022</v>
      </c>
      <c r="I236" s="80"/>
    </row>
    <row r="237" spans="1:9" hidden="1">
      <c r="A237" s="43">
        <v>8314</v>
      </c>
      <c r="B237" s="26" t="s">
        <v>275</v>
      </c>
      <c r="C237" s="27" t="s">
        <v>293</v>
      </c>
      <c r="D237" s="27">
        <v>1368</v>
      </c>
      <c r="E237" s="44"/>
      <c r="F237" s="60">
        <v>44262</v>
      </c>
      <c r="G237" s="38" t="s">
        <v>29</v>
      </c>
      <c r="H237" s="28">
        <f t="shared" si="6"/>
        <v>2021</v>
      </c>
      <c r="I237" s="80"/>
    </row>
    <row r="238" spans="1:9" hidden="1">
      <c r="A238" s="43">
        <v>8315</v>
      </c>
      <c r="B238" s="26" t="s">
        <v>308</v>
      </c>
      <c r="C238" s="27" t="s">
        <v>293</v>
      </c>
      <c r="D238" s="27">
        <v>1368</v>
      </c>
      <c r="E238" s="44"/>
      <c r="F238" s="60">
        <v>44262</v>
      </c>
      <c r="G238" s="38" t="s">
        <v>29</v>
      </c>
      <c r="H238" s="28">
        <f t="shared" si="6"/>
        <v>2021</v>
      </c>
      <c r="I238" s="80"/>
    </row>
    <row r="239" spans="1:9" hidden="1">
      <c r="A239" s="43">
        <v>8316</v>
      </c>
      <c r="B239" s="26" t="s">
        <v>332</v>
      </c>
      <c r="C239" s="27" t="s">
        <v>294</v>
      </c>
      <c r="D239" s="27">
        <v>2280</v>
      </c>
      <c r="E239" s="44"/>
      <c r="F239" s="60">
        <v>44262</v>
      </c>
      <c r="G239" s="38" t="s">
        <v>29</v>
      </c>
      <c r="H239" s="28">
        <f t="shared" si="6"/>
        <v>2021</v>
      </c>
      <c r="I239" s="80"/>
    </row>
    <row r="240" spans="1:9" hidden="1">
      <c r="A240" s="43">
        <v>8317</v>
      </c>
      <c r="B240" s="26" t="s">
        <v>299</v>
      </c>
      <c r="C240" s="27" t="s">
        <v>293</v>
      </c>
      <c r="D240" s="27">
        <v>912</v>
      </c>
      <c r="E240" s="44"/>
      <c r="F240" s="60">
        <v>44262</v>
      </c>
      <c r="G240" s="38" t="s">
        <v>29</v>
      </c>
      <c r="H240" s="28">
        <f t="shared" si="6"/>
        <v>2021</v>
      </c>
      <c r="I240" s="80"/>
    </row>
    <row r="241" spans="1:9" hidden="1">
      <c r="A241" s="43">
        <v>8318</v>
      </c>
      <c r="B241" s="26" t="s">
        <v>188</v>
      </c>
      <c r="C241" s="27" t="s">
        <v>248</v>
      </c>
      <c r="D241" s="27">
        <v>3890</v>
      </c>
      <c r="E241" s="44"/>
      <c r="F241" s="60">
        <v>44262</v>
      </c>
      <c r="G241" s="38" t="s">
        <v>29</v>
      </c>
      <c r="H241" s="28">
        <f t="shared" si="6"/>
        <v>2021</v>
      </c>
      <c r="I241" s="80"/>
    </row>
    <row r="242" spans="1:9" hidden="1">
      <c r="A242" s="43">
        <v>8319</v>
      </c>
      <c r="B242" s="26" t="s">
        <v>185</v>
      </c>
      <c r="C242" s="27" t="s">
        <v>248</v>
      </c>
      <c r="D242" s="27">
        <v>5446</v>
      </c>
      <c r="E242" s="44"/>
      <c r="F242" s="60">
        <v>44262</v>
      </c>
      <c r="G242" s="38" t="s">
        <v>29</v>
      </c>
      <c r="H242" s="28">
        <f t="shared" si="6"/>
        <v>2021</v>
      </c>
      <c r="I242" s="80"/>
    </row>
    <row r="243" spans="1:9" hidden="1">
      <c r="A243" s="43">
        <v>8320</v>
      </c>
      <c r="B243" s="26" t="s">
        <v>333</v>
      </c>
      <c r="C243" s="27" t="s">
        <v>248</v>
      </c>
      <c r="D243" s="27">
        <v>2312</v>
      </c>
      <c r="E243" s="44"/>
      <c r="F243" s="60">
        <v>44262</v>
      </c>
      <c r="G243" s="38" t="s">
        <v>29</v>
      </c>
      <c r="H243" s="28">
        <f t="shared" si="6"/>
        <v>2021</v>
      </c>
      <c r="I243" s="80"/>
    </row>
    <row r="244" spans="1:9" hidden="1">
      <c r="A244" s="43">
        <v>8321</v>
      </c>
      <c r="B244" s="26" t="s">
        <v>198</v>
      </c>
      <c r="C244" s="27" t="s">
        <v>253</v>
      </c>
      <c r="D244" s="27">
        <v>912</v>
      </c>
      <c r="E244" s="44"/>
      <c r="F244" s="60">
        <v>44262</v>
      </c>
      <c r="G244" s="38" t="s">
        <v>29</v>
      </c>
      <c r="H244" s="28">
        <f t="shared" si="6"/>
        <v>2021</v>
      </c>
      <c r="I244" s="80"/>
    </row>
    <row r="245" spans="1:9" hidden="1">
      <c r="A245" s="43">
        <v>8322</v>
      </c>
      <c r="B245" s="26" t="s">
        <v>197</v>
      </c>
      <c r="C245" s="27" t="s">
        <v>253</v>
      </c>
      <c r="D245" s="27">
        <v>2508</v>
      </c>
      <c r="E245" s="44"/>
      <c r="F245" s="60">
        <v>44262</v>
      </c>
      <c r="G245" s="38" t="s">
        <v>29</v>
      </c>
      <c r="H245" s="28">
        <f t="shared" si="6"/>
        <v>2021</v>
      </c>
      <c r="I245" s="80"/>
    </row>
    <row r="246" spans="1:9" hidden="1">
      <c r="A246" s="43">
        <v>8323</v>
      </c>
      <c r="B246" s="26" t="s">
        <v>195</v>
      </c>
      <c r="C246" s="27" t="s">
        <v>253</v>
      </c>
      <c r="D246" s="27">
        <v>912</v>
      </c>
      <c r="E246" s="44"/>
      <c r="F246" s="60">
        <v>44262</v>
      </c>
      <c r="G246" s="38" t="s">
        <v>29</v>
      </c>
      <c r="H246" s="28">
        <f t="shared" si="6"/>
        <v>2021</v>
      </c>
      <c r="I246" s="80"/>
    </row>
    <row r="247" spans="1:9" hidden="1">
      <c r="A247" s="43">
        <v>8324</v>
      </c>
      <c r="B247" s="26" t="s">
        <v>324</v>
      </c>
      <c r="C247" s="27" t="s">
        <v>267</v>
      </c>
      <c r="D247" s="27">
        <v>1824</v>
      </c>
      <c r="E247" s="44"/>
      <c r="F247" s="60">
        <v>44262</v>
      </c>
      <c r="G247" s="38" t="s">
        <v>29</v>
      </c>
      <c r="H247" s="28">
        <f t="shared" si="6"/>
        <v>2021</v>
      </c>
      <c r="I247" s="80"/>
    </row>
    <row r="248" spans="1:9" hidden="1">
      <c r="A248" s="43">
        <v>8325</v>
      </c>
      <c r="B248" s="26" t="s">
        <v>80</v>
      </c>
      <c r="C248" s="27" t="s">
        <v>267</v>
      </c>
      <c r="D248" s="27">
        <v>912</v>
      </c>
      <c r="E248" s="44"/>
      <c r="F248" s="60">
        <v>44262</v>
      </c>
      <c r="G248" s="38" t="s">
        <v>29</v>
      </c>
      <c r="H248" s="28">
        <f t="shared" si="6"/>
        <v>2021</v>
      </c>
      <c r="I248" s="80"/>
    </row>
    <row r="249" spans="1:9" hidden="1">
      <c r="A249" s="43">
        <v>8326</v>
      </c>
      <c r="B249" s="26" t="s">
        <v>200</v>
      </c>
      <c r="C249" s="27" t="s">
        <v>267</v>
      </c>
      <c r="D249" s="27">
        <v>912</v>
      </c>
      <c r="E249" s="44"/>
      <c r="F249" s="60">
        <v>44262</v>
      </c>
      <c r="G249" s="38" t="s">
        <v>29</v>
      </c>
      <c r="H249" s="28">
        <f t="shared" si="6"/>
        <v>2021</v>
      </c>
      <c r="I249" s="80"/>
    </row>
    <row r="250" spans="1:9" hidden="1">
      <c r="A250" s="43">
        <v>8327</v>
      </c>
      <c r="B250" s="26" t="s">
        <v>323</v>
      </c>
      <c r="C250" s="27" t="s">
        <v>267</v>
      </c>
      <c r="D250" s="27">
        <v>912</v>
      </c>
      <c r="E250" s="44"/>
      <c r="F250" s="60">
        <v>44262</v>
      </c>
      <c r="G250" s="38" t="s">
        <v>29</v>
      </c>
      <c r="H250" s="28">
        <f t="shared" si="6"/>
        <v>2021</v>
      </c>
      <c r="I250" s="80"/>
    </row>
    <row r="251" spans="1:9" hidden="1">
      <c r="A251" s="43">
        <v>8328</v>
      </c>
      <c r="B251" s="26" t="s">
        <v>322</v>
      </c>
      <c r="C251" s="27" t="s">
        <v>293</v>
      </c>
      <c r="D251" s="27">
        <v>228</v>
      </c>
      <c r="E251" s="44"/>
      <c r="F251" s="60">
        <v>44262</v>
      </c>
      <c r="G251" s="38" t="s">
        <v>29</v>
      </c>
      <c r="H251" s="28">
        <f t="shared" si="6"/>
        <v>2021</v>
      </c>
      <c r="I251" s="80"/>
    </row>
    <row r="252" spans="1:9" hidden="1">
      <c r="A252" s="43">
        <v>8329</v>
      </c>
      <c r="B252" s="26" t="s">
        <v>278</v>
      </c>
      <c r="C252" s="27" t="s">
        <v>293</v>
      </c>
      <c r="D252" s="27">
        <v>1140</v>
      </c>
      <c r="E252" s="44"/>
      <c r="F252" s="60">
        <v>44262</v>
      </c>
      <c r="G252" s="38" t="s">
        <v>29</v>
      </c>
      <c r="H252" s="28">
        <f t="shared" si="6"/>
        <v>2021</v>
      </c>
      <c r="I252" s="117"/>
    </row>
    <row r="253" spans="1:9" hidden="1">
      <c r="A253" s="43">
        <v>8330</v>
      </c>
      <c r="B253" s="26" t="s">
        <v>171</v>
      </c>
      <c r="C253" s="27" t="s">
        <v>248</v>
      </c>
      <c r="D253" s="27">
        <v>5446</v>
      </c>
      <c r="E253" s="44"/>
      <c r="F253" s="60">
        <v>44262</v>
      </c>
      <c r="G253" s="38" t="s">
        <v>29</v>
      </c>
      <c r="H253" s="28">
        <f t="shared" si="6"/>
        <v>2021</v>
      </c>
      <c r="I253" s="80"/>
    </row>
    <row r="254" spans="1:9" hidden="1">
      <c r="A254" s="43">
        <v>8331</v>
      </c>
      <c r="B254" s="26" t="s">
        <v>164</v>
      </c>
      <c r="C254" s="27" t="s">
        <v>248</v>
      </c>
      <c r="D254" s="27">
        <v>3112</v>
      </c>
      <c r="E254" s="44"/>
      <c r="F254" s="60">
        <v>44262</v>
      </c>
      <c r="G254" s="38" t="s">
        <v>29</v>
      </c>
      <c r="H254" s="28">
        <f t="shared" si="6"/>
        <v>2021</v>
      </c>
      <c r="I254" s="80"/>
    </row>
    <row r="255" spans="1:9" hidden="1">
      <c r="A255" s="43">
        <v>8332</v>
      </c>
      <c r="B255" s="26" t="s">
        <v>334</v>
      </c>
      <c r="C255" s="27" t="s">
        <v>248</v>
      </c>
      <c r="D255" s="27">
        <v>2334</v>
      </c>
      <c r="E255" s="44"/>
      <c r="F255" s="60">
        <v>44262</v>
      </c>
      <c r="G255" s="38" t="s">
        <v>29</v>
      </c>
      <c r="H255" s="28">
        <f t="shared" si="6"/>
        <v>2021</v>
      </c>
      <c r="I255" s="80"/>
    </row>
    <row r="256" spans="1:9" hidden="1">
      <c r="A256" s="43">
        <v>8333</v>
      </c>
      <c r="B256" s="26" t="s">
        <v>177</v>
      </c>
      <c r="C256" s="27" t="s">
        <v>248</v>
      </c>
      <c r="D256" s="27">
        <v>4668</v>
      </c>
      <c r="E256" s="44"/>
      <c r="F256" s="60">
        <v>44314</v>
      </c>
      <c r="G256" s="38" t="s">
        <v>29</v>
      </c>
      <c r="H256" s="28">
        <f t="shared" si="6"/>
        <v>2021</v>
      </c>
      <c r="I256" s="80"/>
    </row>
    <row r="257" spans="1:9" hidden="1">
      <c r="A257" s="43">
        <v>8334</v>
      </c>
      <c r="B257" s="26" t="s">
        <v>167</v>
      </c>
      <c r="C257" s="27" t="s">
        <v>248</v>
      </c>
      <c r="D257" s="27">
        <v>4668</v>
      </c>
      <c r="E257" s="44"/>
      <c r="F257" s="60">
        <v>44535</v>
      </c>
      <c r="G257" s="38" t="s">
        <v>29</v>
      </c>
      <c r="H257" s="28">
        <f t="shared" si="6"/>
        <v>2021</v>
      </c>
      <c r="I257" s="80"/>
    </row>
    <row r="258" spans="1:9" hidden="1">
      <c r="A258" s="43">
        <v>8336</v>
      </c>
      <c r="B258" s="26" t="s">
        <v>187</v>
      </c>
      <c r="C258" s="27" t="s">
        <v>253</v>
      </c>
      <c r="D258" s="27">
        <v>1140</v>
      </c>
      <c r="E258" s="44"/>
      <c r="F258" s="60">
        <v>44262</v>
      </c>
      <c r="G258" s="38" t="s">
        <v>29</v>
      </c>
      <c r="H258" s="28">
        <f t="shared" si="6"/>
        <v>2021</v>
      </c>
      <c r="I258" s="80"/>
    </row>
    <row r="259" spans="1:9" hidden="1">
      <c r="A259" s="43">
        <v>8337</v>
      </c>
      <c r="B259" s="26" t="s">
        <v>264</v>
      </c>
      <c r="C259" s="27" t="s">
        <v>294</v>
      </c>
      <c r="D259" s="27">
        <v>1140</v>
      </c>
      <c r="E259" s="44"/>
      <c r="F259" s="60">
        <v>44456</v>
      </c>
      <c r="G259" s="38" t="s">
        <v>29</v>
      </c>
      <c r="H259" s="28">
        <f t="shared" si="6"/>
        <v>2021</v>
      </c>
      <c r="I259" s="80"/>
    </row>
    <row r="260" spans="1:9" hidden="1">
      <c r="A260" s="43">
        <v>8338</v>
      </c>
      <c r="B260" s="26" t="s">
        <v>288</v>
      </c>
      <c r="C260" s="27" t="s">
        <v>294</v>
      </c>
      <c r="D260" s="27">
        <v>684</v>
      </c>
      <c r="E260" s="44"/>
      <c r="F260" s="60">
        <v>44262</v>
      </c>
      <c r="G260" s="38" t="s">
        <v>29</v>
      </c>
      <c r="H260" s="28">
        <f t="shared" si="6"/>
        <v>2021</v>
      </c>
      <c r="I260" s="80"/>
    </row>
    <row r="261" spans="1:9" hidden="1">
      <c r="A261" s="43">
        <v>8340</v>
      </c>
      <c r="B261" s="26" t="s">
        <v>202</v>
      </c>
      <c r="C261" s="27" t="s">
        <v>294</v>
      </c>
      <c r="D261" s="27">
        <v>912</v>
      </c>
      <c r="E261" s="44"/>
      <c r="F261" s="60">
        <v>44456</v>
      </c>
      <c r="G261" s="38" t="s">
        <v>29</v>
      </c>
      <c r="H261" s="28">
        <f t="shared" si="6"/>
        <v>2021</v>
      </c>
      <c r="I261" s="80"/>
    </row>
    <row r="262" spans="1:9" hidden="1">
      <c r="A262" s="43">
        <v>8341</v>
      </c>
      <c r="B262" s="26" t="s">
        <v>310</v>
      </c>
      <c r="C262" s="27" t="s">
        <v>267</v>
      </c>
      <c r="D262" s="27">
        <v>912</v>
      </c>
      <c r="E262" s="44"/>
      <c r="F262" s="60">
        <v>44262</v>
      </c>
      <c r="G262" s="38" t="s">
        <v>29</v>
      </c>
      <c r="H262" s="28">
        <f t="shared" si="6"/>
        <v>2021</v>
      </c>
      <c r="I262" s="80"/>
    </row>
    <row r="263" spans="1:9" hidden="1">
      <c r="A263" s="43">
        <v>8342</v>
      </c>
      <c r="B263" s="26" t="s">
        <v>195</v>
      </c>
      <c r="C263" s="27" t="s">
        <v>267</v>
      </c>
      <c r="D263" s="27">
        <v>912</v>
      </c>
      <c r="E263" s="44"/>
      <c r="F263" s="60">
        <v>44262</v>
      </c>
      <c r="G263" s="38" t="s">
        <v>29</v>
      </c>
      <c r="H263" s="28">
        <f t="shared" si="6"/>
        <v>2021</v>
      </c>
      <c r="I263" s="80"/>
    </row>
    <row r="264" spans="1:9" hidden="1">
      <c r="A264" s="43">
        <v>8343</v>
      </c>
      <c r="B264" s="26" t="s">
        <v>181</v>
      </c>
      <c r="C264" s="27" t="s">
        <v>253</v>
      </c>
      <c r="D264" s="27">
        <v>1824</v>
      </c>
      <c r="E264" s="44"/>
      <c r="F264" s="60">
        <v>44262</v>
      </c>
      <c r="G264" s="38" t="s">
        <v>29</v>
      </c>
      <c r="H264" s="28">
        <f t="shared" si="6"/>
        <v>2021</v>
      </c>
      <c r="I264" s="80"/>
    </row>
    <row r="265" spans="1:9" hidden="1">
      <c r="A265" s="43">
        <v>8344</v>
      </c>
      <c r="B265" s="26" t="s">
        <v>178</v>
      </c>
      <c r="C265" s="27" t="s">
        <v>253</v>
      </c>
      <c r="D265" s="27">
        <v>2736</v>
      </c>
      <c r="E265" s="44"/>
      <c r="F265" s="60">
        <v>44262</v>
      </c>
      <c r="G265" s="38" t="s">
        <v>29</v>
      </c>
      <c r="H265" s="28">
        <f t="shared" si="6"/>
        <v>2021</v>
      </c>
      <c r="I265" s="80"/>
    </row>
    <row r="266" spans="1:9" hidden="1">
      <c r="A266" s="43">
        <v>8345</v>
      </c>
      <c r="B266" s="26" t="s">
        <v>157</v>
      </c>
      <c r="C266" s="27" t="s">
        <v>248</v>
      </c>
      <c r="D266" s="27">
        <v>4668</v>
      </c>
      <c r="E266" s="44"/>
      <c r="F266" s="60">
        <v>44506</v>
      </c>
      <c r="G266" s="38" t="s">
        <v>29</v>
      </c>
      <c r="H266" s="28">
        <f t="shared" si="6"/>
        <v>2021</v>
      </c>
      <c r="I266" s="80"/>
    </row>
    <row r="267" spans="1:9" hidden="1">
      <c r="A267" s="43">
        <v>8346</v>
      </c>
      <c r="B267" s="26" t="s">
        <v>158</v>
      </c>
      <c r="C267" s="27" t="s">
        <v>248</v>
      </c>
      <c r="D267" s="27">
        <v>3890</v>
      </c>
      <c r="E267" s="44"/>
      <c r="F267" s="60">
        <v>44364</v>
      </c>
      <c r="G267" s="38" t="s">
        <v>29</v>
      </c>
      <c r="H267" s="28">
        <f t="shared" si="6"/>
        <v>2021</v>
      </c>
      <c r="I267" s="80"/>
    </row>
    <row r="268" spans="1:9" hidden="1">
      <c r="A268" s="43">
        <v>8347</v>
      </c>
      <c r="B268" s="26" t="s">
        <v>335</v>
      </c>
      <c r="C268" s="27" t="s">
        <v>248</v>
      </c>
      <c r="D268" s="27">
        <v>7002</v>
      </c>
      <c r="E268" s="44"/>
      <c r="F268" s="60">
        <v>44461</v>
      </c>
      <c r="G268" s="38" t="s">
        <v>29</v>
      </c>
      <c r="H268" s="28">
        <f t="shared" si="6"/>
        <v>2021</v>
      </c>
      <c r="I268" s="80"/>
    </row>
    <row r="269" spans="1:9" hidden="1">
      <c r="A269" s="43">
        <v>8348</v>
      </c>
      <c r="B269" s="26" t="s">
        <v>336</v>
      </c>
      <c r="C269" s="27" t="s">
        <v>248</v>
      </c>
      <c r="D269" s="27">
        <v>3112</v>
      </c>
      <c r="E269" s="44"/>
      <c r="F269" s="63">
        <v>44456</v>
      </c>
      <c r="G269" s="38" t="s">
        <v>29</v>
      </c>
      <c r="H269" s="28">
        <f t="shared" ref="H269" si="7">YEAR(F269)</f>
        <v>2021</v>
      </c>
      <c r="I269" s="80"/>
    </row>
    <row r="270" spans="1:9" hidden="1">
      <c r="A270" s="43">
        <v>8351</v>
      </c>
      <c r="B270" s="26" t="s">
        <v>166</v>
      </c>
      <c r="C270" s="27" t="s">
        <v>248</v>
      </c>
      <c r="D270" s="27">
        <v>3112</v>
      </c>
      <c r="E270" s="44"/>
      <c r="F270" s="60">
        <v>44263</v>
      </c>
      <c r="G270" s="38" t="s">
        <v>29</v>
      </c>
      <c r="H270" s="28">
        <f t="shared" ref="H270:H272" si="8">YEAR(F270)</f>
        <v>2021</v>
      </c>
      <c r="I270" s="80"/>
    </row>
    <row r="271" spans="1:9" hidden="1">
      <c r="A271" s="43">
        <v>8352</v>
      </c>
      <c r="B271" s="26" t="s">
        <v>211</v>
      </c>
      <c r="C271" s="27" t="s">
        <v>294</v>
      </c>
      <c r="D271" s="27">
        <v>1824</v>
      </c>
      <c r="E271" s="44"/>
      <c r="F271" s="60">
        <v>44870</v>
      </c>
      <c r="G271" s="38" t="s">
        <v>29</v>
      </c>
      <c r="H271" s="28">
        <f t="shared" si="8"/>
        <v>2022</v>
      </c>
      <c r="I271" s="80"/>
    </row>
    <row r="272" spans="1:9" hidden="1">
      <c r="A272" s="43">
        <v>8353</v>
      </c>
      <c r="B272" s="26" t="s">
        <v>207</v>
      </c>
      <c r="C272" s="27" t="s">
        <v>294</v>
      </c>
      <c r="D272" s="27">
        <v>4560</v>
      </c>
      <c r="E272" s="44"/>
      <c r="F272" s="60">
        <v>44870</v>
      </c>
      <c r="G272" s="38" t="s">
        <v>29</v>
      </c>
      <c r="H272" s="28">
        <f t="shared" si="8"/>
        <v>2022</v>
      </c>
      <c r="I272" s="80"/>
    </row>
    <row r="273" spans="1:9" hidden="1">
      <c r="A273" s="43">
        <v>8355</v>
      </c>
      <c r="B273" s="26" t="s">
        <v>209</v>
      </c>
      <c r="C273" s="27" t="s">
        <v>293</v>
      </c>
      <c r="D273" s="27">
        <v>3648</v>
      </c>
      <c r="E273" s="44"/>
      <c r="F273" s="60">
        <v>44870</v>
      </c>
      <c r="G273" s="38" t="s">
        <v>29</v>
      </c>
      <c r="H273" s="28">
        <f t="shared" ref="H273:H294" si="9">YEAR(F273)</f>
        <v>2022</v>
      </c>
      <c r="I273" s="80"/>
    </row>
    <row r="274" spans="1:9" hidden="1">
      <c r="A274" s="43">
        <v>8356</v>
      </c>
      <c r="B274" s="26" t="s">
        <v>215</v>
      </c>
      <c r="C274" s="27" t="s">
        <v>293</v>
      </c>
      <c r="D274" s="27">
        <v>1368</v>
      </c>
      <c r="E274" s="44"/>
      <c r="F274" s="60">
        <v>44870</v>
      </c>
      <c r="G274" s="38" t="s">
        <v>29</v>
      </c>
      <c r="H274" s="28">
        <f t="shared" si="9"/>
        <v>2022</v>
      </c>
      <c r="I274" s="80"/>
    </row>
    <row r="275" spans="1:9" hidden="1">
      <c r="A275" s="43">
        <v>8357</v>
      </c>
      <c r="B275" s="26" t="s">
        <v>337</v>
      </c>
      <c r="C275" s="27" t="s">
        <v>294</v>
      </c>
      <c r="D275" s="27">
        <v>912</v>
      </c>
      <c r="E275" s="44"/>
      <c r="F275" s="60">
        <v>44870</v>
      </c>
      <c r="G275" s="38" t="s">
        <v>29</v>
      </c>
      <c r="H275" s="28">
        <f t="shared" si="9"/>
        <v>2022</v>
      </c>
      <c r="I275" s="80"/>
    </row>
    <row r="276" spans="1:9" hidden="1">
      <c r="A276" s="43">
        <v>8358</v>
      </c>
      <c r="B276" s="26" t="s">
        <v>276</v>
      </c>
      <c r="C276" s="27" t="s">
        <v>293</v>
      </c>
      <c r="D276" s="27">
        <v>912</v>
      </c>
      <c r="E276" s="44"/>
      <c r="F276" s="60">
        <v>44870</v>
      </c>
      <c r="G276" s="38" t="s">
        <v>29</v>
      </c>
      <c r="H276" s="28">
        <f t="shared" si="9"/>
        <v>2022</v>
      </c>
      <c r="I276" s="80"/>
    </row>
    <row r="277" spans="1:9" hidden="1">
      <c r="A277" s="43">
        <v>8359</v>
      </c>
      <c r="B277" s="26" t="s">
        <v>325</v>
      </c>
      <c r="C277" s="27" t="s">
        <v>267</v>
      </c>
      <c r="D277" s="27">
        <v>3192</v>
      </c>
      <c r="E277" s="44"/>
      <c r="F277" s="60">
        <v>44870</v>
      </c>
      <c r="G277" s="38" t="s">
        <v>29</v>
      </c>
      <c r="H277" s="28">
        <f t="shared" si="9"/>
        <v>2022</v>
      </c>
      <c r="I277" s="80"/>
    </row>
    <row r="278" spans="1:9" hidden="1">
      <c r="A278" s="43">
        <v>8360</v>
      </c>
      <c r="B278" s="26" t="s">
        <v>295</v>
      </c>
      <c r="C278" s="27" t="s">
        <v>293</v>
      </c>
      <c r="D278" s="27">
        <v>1140</v>
      </c>
      <c r="E278" s="44"/>
      <c r="F278" s="60">
        <v>44870</v>
      </c>
      <c r="G278" s="38" t="s">
        <v>29</v>
      </c>
      <c r="H278" s="28">
        <f t="shared" si="9"/>
        <v>2022</v>
      </c>
      <c r="I278" s="80"/>
    </row>
    <row r="279" spans="1:9" hidden="1">
      <c r="A279" s="43">
        <v>8361</v>
      </c>
      <c r="B279" s="26" t="s">
        <v>286</v>
      </c>
      <c r="C279" s="27" t="s">
        <v>293</v>
      </c>
      <c r="D279" s="27">
        <v>342</v>
      </c>
      <c r="E279" s="44"/>
      <c r="F279" s="60">
        <v>44730</v>
      </c>
      <c r="G279" s="38" t="s">
        <v>29</v>
      </c>
      <c r="H279" s="28">
        <f t="shared" si="9"/>
        <v>2022</v>
      </c>
      <c r="I279" s="80"/>
    </row>
    <row r="280" spans="1:9" hidden="1">
      <c r="A280" s="43">
        <v>8362</v>
      </c>
      <c r="B280" s="26" t="s">
        <v>327</v>
      </c>
      <c r="C280" s="27" t="s">
        <v>294</v>
      </c>
      <c r="D280" s="27">
        <v>684</v>
      </c>
      <c r="E280" s="44"/>
      <c r="F280" s="60">
        <v>44870</v>
      </c>
      <c r="G280" s="38" t="s">
        <v>29</v>
      </c>
      <c r="H280" s="28">
        <f t="shared" si="9"/>
        <v>2022</v>
      </c>
      <c r="I280" s="80"/>
    </row>
    <row r="281" spans="1:9" hidden="1">
      <c r="A281" s="43">
        <v>8363</v>
      </c>
      <c r="B281" s="26" t="s">
        <v>274</v>
      </c>
      <c r="C281" s="27" t="s">
        <v>293</v>
      </c>
      <c r="D281" s="27">
        <v>684</v>
      </c>
      <c r="E281" s="44"/>
      <c r="F281" s="60">
        <v>44870</v>
      </c>
      <c r="G281" s="38" t="s">
        <v>29</v>
      </c>
      <c r="H281" s="28">
        <f t="shared" si="9"/>
        <v>2022</v>
      </c>
      <c r="I281" s="80"/>
    </row>
    <row r="282" spans="1:9" hidden="1">
      <c r="A282" s="43">
        <v>8364</v>
      </c>
      <c r="B282" s="26" t="s">
        <v>338</v>
      </c>
      <c r="C282" s="27" t="s">
        <v>248</v>
      </c>
      <c r="D282" s="27">
        <v>2334</v>
      </c>
      <c r="E282" s="44"/>
      <c r="F282" s="60">
        <v>44749</v>
      </c>
      <c r="G282" s="38" t="s">
        <v>29</v>
      </c>
      <c r="H282" s="28">
        <f t="shared" si="9"/>
        <v>2022</v>
      </c>
      <c r="I282" s="80"/>
    </row>
    <row r="283" spans="1:9" hidden="1">
      <c r="A283" s="43">
        <v>8365</v>
      </c>
      <c r="B283" s="26" t="s">
        <v>169</v>
      </c>
      <c r="C283" s="27" t="s">
        <v>248</v>
      </c>
      <c r="D283" s="27">
        <v>6224</v>
      </c>
      <c r="E283" s="44"/>
      <c r="F283" s="60">
        <v>44525</v>
      </c>
      <c r="G283" s="38" t="s">
        <v>29</v>
      </c>
      <c r="H283" s="28">
        <f t="shared" si="9"/>
        <v>2021</v>
      </c>
      <c r="I283" s="80"/>
    </row>
    <row r="284" spans="1:9" hidden="1">
      <c r="A284" s="43">
        <v>8366</v>
      </c>
      <c r="B284" s="26" t="s">
        <v>175</v>
      </c>
      <c r="C284" s="27" t="s">
        <v>248</v>
      </c>
      <c r="D284" s="27">
        <v>7780</v>
      </c>
      <c r="E284" s="44"/>
      <c r="F284" s="60">
        <v>44239</v>
      </c>
      <c r="G284" s="38" t="s">
        <v>29</v>
      </c>
      <c r="H284" s="28">
        <f t="shared" si="9"/>
        <v>2021</v>
      </c>
      <c r="I284" s="80"/>
    </row>
    <row r="285" spans="1:9" hidden="1">
      <c r="A285" s="43">
        <v>8367</v>
      </c>
      <c r="B285" s="26" t="s">
        <v>339</v>
      </c>
      <c r="C285" s="27" t="s">
        <v>248</v>
      </c>
      <c r="D285" s="27">
        <v>7780</v>
      </c>
      <c r="E285" s="44"/>
      <c r="F285" s="60">
        <v>44525</v>
      </c>
      <c r="G285" s="38" t="s">
        <v>29</v>
      </c>
      <c r="H285" s="28">
        <f t="shared" si="9"/>
        <v>2021</v>
      </c>
      <c r="I285" s="80"/>
    </row>
    <row r="286" spans="1:9" hidden="1">
      <c r="A286" s="43">
        <v>8368</v>
      </c>
      <c r="B286" s="26" t="s">
        <v>159</v>
      </c>
      <c r="C286" s="27" t="s">
        <v>248</v>
      </c>
      <c r="D286" s="27">
        <v>14004</v>
      </c>
      <c r="E286" s="44"/>
      <c r="F286" s="60">
        <v>44763</v>
      </c>
      <c r="G286" s="38" t="s">
        <v>29</v>
      </c>
      <c r="H286" s="28">
        <f t="shared" si="9"/>
        <v>2022</v>
      </c>
      <c r="I286" s="80"/>
    </row>
    <row r="287" spans="1:9" hidden="1">
      <c r="A287" s="43">
        <v>8369</v>
      </c>
      <c r="B287" s="26" t="s">
        <v>156</v>
      </c>
      <c r="C287" s="27" t="s">
        <v>248</v>
      </c>
      <c r="D287" s="27">
        <v>11670</v>
      </c>
      <c r="E287" s="44"/>
      <c r="F287" s="60">
        <v>44736</v>
      </c>
      <c r="G287" s="38" t="s">
        <v>29</v>
      </c>
      <c r="H287" s="28">
        <f t="shared" si="9"/>
        <v>2022</v>
      </c>
      <c r="I287" s="80"/>
    </row>
    <row r="288" spans="1:9" hidden="1">
      <c r="A288" s="43">
        <v>8370</v>
      </c>
      <c r="B288" s="26" t="s">
        <v>340</v>
      </c>
      <c r="C288" s="27" t="s">
        <v>253</v>
      </c>
      <c r="D288" s="27">
        <v>912</v>
      </c>
      <c r="E288" s="44"/>
      <c r="F288" s="60">
        <v>44749</v>
      </c>
      <c r="G288" s="38" t="s">
        <v>29</v>
      </c>
      <c r="H288" s="28">
        <f t="shared" si="9"/>
        <v>2022</v>
      </c>
      <c r="I288" s="116"/>
    </row>
    <row r="289" spans="1:9" hidden="1">
      <c r="A289" s="43">
        <v>8371</v>
      </c>
      <c r="B289" s="26" t="s">
        <v>188</v>
      </c>
      <c r="C289" s="27" t="s">
        <v>253</v>
      </c>
      <c r="D289" s="27">
        <v>1140</v>
      </c>
      <c r="E289" s="44"/>
      <c r="F289" s="60">
        <v>44730</v>
      </c>
      <c r="G289" s="38" t="s">
        <v>29</v>
      </c>
      <c r="H289" s="28">
        <f t="shared" si="9"/>
        <v>2022</v>
      </c>
      <c r="I289" s="80"/>
    </row>
    <row r="290" spans="1:9" hidden="1">
      <c r="A290" s="43">
        <v>8372</v>
      </c>
      <c r="B290" s="26" t="s">
        <v>185</v>
      </c>
      <c r="C290" s="27" t="s">
        <v>253</v>
      </c>
      <c r="D290" s="27">
        <v>1596</v>
      </c>
      <c r="E290" s="44"/>
      <c r="F290" s="60">
        <v>44730</v>
      </c>
      <c r="G290" s="38" t="s">
        <v>29</v>
      </c>
      <c r="H290" s="28">
        <f t="shared" si="9"/>
        <v>2022</v>
      </c>
      <c r="I290" s="80"/>
    </row>
    <row r="291" spans="1:9" hidden="1">
      <c r="A291" s="43">
        <v>8373</v>
      </c>
      <c r="B291" s="26" t="s">
        <v>330</v>
      </c>
      <c r="C291" s="27" t="s">
        <v>253</v>
      </c>
      <c r="D291" s="27">
        <v>5016</v>
      </c>
      <c r="E291" s="44"/>
      <c r="F291" s="60">
        <v>44679</v>
      </c>
      <c r="G291" s="38" t="s">
        <v>29</v>
      </c>
      <c r="H291" s="28">
        <f t="shared" si="9"/>
        <v>2022</v>
      </c>
      <c r="I291" s="80"/>
    </row>
    <row r="292" spans="1:9" hidden="1">
      <c r="A292" s="43">
        <v>8374</v>
      </c>
      <c r="B292" s="26" t="s">
        <v>266</v>
      </c>
      <c r="C292" s="27" t="s">
        <v>253</v>
      </c>
      <c r="D292" s="27">
        <v>1824</v>
      </c>
      <c r="E292" s="44"/>
      <c r="F292" s="60">
        <v>44730</v>
      </c>
      <c r="G292" s="38" t="s">
        <v>29</v>
      </c>
      <c r="H292" s="28">
        <f t="shared" si="9"/>
        <v>2022</v>
      </c>
      <c r="I292" s="80"/>
    </row>
    <row r="293" spans="1:9" hidden="1">
      <c r="A293" s="43">
        <v>8375</v>
      </c>
      <c r="B293" s="26" t="s">
        <v>198</v>
      </c>
      <c r="C293" s="27" t="s">
        <v>267</v>
      </c>
      <c r="D293" s="27">
        <v>912</v>
      </c>
      <c r="E293" s="44"/>
      <c r="F293" s="60">
        <v>44730</v>
      </c>
      <c r="G293" s="38" t="s">
        <v>29</v>
      </c>
      <c r="H293" s="28">
        <f t="shared" si="9"/>
        <v>2022</v>
      </c>
      <c r="I293" s="80"/>
    </row>
    <row r="294" spans="1:9" hidden="1">
      <c r="A294" s="43">
        <v>8376</v>
      </c>
      <c r="B294" s="26" t="s">
        <v>197</v>
      </c>
      <c r="C294" s="27" t="s">
        <v>267</v>
      </c>
      <c r="D294" s="27">
        <v>2508</v>
      </c>
      <c r="E294" s="44"/>
      <c r="F294" s="60">
        <v>44730</v>
      </c>
      <c r="G294" s="38" t="s">
        <v>29</v>
      </c>
      <c r="H294" s="28">
        <f t="shared" si="9"/>
        <v>2022</v>
      </c>
      <c r="I294" s="80"/>
    </row>
    <row r="295" spans="1:9" hidden="1">
      <c r="A295" s="43">
        <v>8378</v>
      </c>
      <c r="B295" s="26" t="s">
        <v>80</v>
      </c>
      <c r="C295" s="27" t="s">
        <v>294</v>
      </c>
      <c r="D295" s="27">
        <v>912</v>
      </c>
      <c r="E295" s="44"/>
      <c r="F295" s="60">
        <v>44730</v>
      </c>
      <c r="G295" s="38" t="s">
        <v>29</v>
      </c>
      <c r="H295" s="28">
        <f t="shared" ref="H295:H306" si="10">YEAR(F295)</f>
        <v>2022</v>
      </c>
      <c r="I295" s="80"/>
    </row>
    <row r="296" spans="1:9" hidden="1">
      <c r="A296" s="43">
        <v>8379</v>
      </c>
      <c r="B296" s="26" t="s">
        <v>200</v>
      </c>
      <c r="C296" s="27" t="s">
        <v>294</v>
      </c>
      <c r="D296" s="27">
        <v>912</v>
      </c>
      <c r="E296" s="44"/>
      <c r="F296" s="60">
        <v>44870</v>
      </c>
      <c r="G296" s="38" t="s">
        <v>29</v>
      </c>
      <c r="H296" s="28">
        <f t="shared" si="10"/>
        <v>2022</v>
      </c>
      <c r="I296" s="80"/>
    </row>
    <row r="297" spans="1:9" hidden="1">
      <c r="A297" s="43">
        <v>8380</v>
      </c>
      <c r="B297" s="26" t="s">
        <v>323</v>
      </c>
      <c r="C297" s="27" t="s">
        <v>294</v>
      </c>
      <c r="D297" s="27">
        <v>912</v>
      </c>
      <c r="E297" s="44"/>
      <c r="F297" s="60">
        <v>44870</v>
      </c>
      <c r="G297" s="38" t="s">
        <v>29</v>
      </c>
      <c r="H297" s="28">
        <f t="shared" si="10"/>
        <v>2022</v>
      </c>
      <c r="I297" s="80"/>
    </row>
    <row r="298" spans="1:9" hidden="1">
      <c r="A298" s="43">
        <v>8381</v>
      </c>
      <c r="B298" s="26" t="s">
        <v>322</v>
      </c>
      <c r="C298" s="27" t="s">
        <v>294</v>
      </c>
      <c r="D298" s="27">
        <v>228</v>
      </c>
      <c r="E298" s="44"/>
      <c r="F298" s="60">
        <v>44870</v>
      </c>
      <c r="G298" s="38" t="s">
        <v>29</v>
      </c>
      <c r="H298" s="28">
        <f t="shared" si="10"/>
        <v>2022</v>
      </c>
      <c r="I298" s="80"/>
    </row>
    <row r="299" spans="1:9" hidden="1">
      <c r="A299" s="43">
        <v>8382</v>
      </c>
      <c r="B299" s="26" t="s">
        <v>307</v>
      </c>
      <c r="C299" s="27" t="s">
        <v>294</v>
      </c>
      <c r="D299" s="27">
        <v>912</v>
      </c>
      <c r="E299" s="44"/>
      <c r="F299" s="60">
        <v>44875</v>
      </c>
      <c r="G299" s="38" t="s">
        <v>29</v>
      </c>
      <c r="H299" s="28">
        <f t="shared" si="10"/>
        <v>2022</v>
      </c>
      <c r="I299" s="80"/>
    </row>
    <row r="300" spans="1:9" hidden="1">
      <c r="A300" s="43">
        <v>8383</v>
      </c>
      <c r="B300" s="26" t="s">
        <v>307</v>
      </c>
      <c r="C300" s="27" t="s">
        <v>293</v>
      </c>
      <c r="D300" s="27">
        <v>608</v>
      </c>
      <c r="E300" s="44"/>
      <c r="F300" s="60">
        <v>44875</v>
      </c>
      <c r="G300" s="38" t="s">
        <v>29</v>
      </c>
      <c r="H300" s="28">
        <f t="shared" si="10"/>
        <v>2022</v>
      </c>
      <c r="I300" s="80"/>
    </row>
    <row r="301" spans="1:9" hidden="1">
      <c r="A301" s="43">
        <v>8354</v>
      </c>
      <c r="B301" s="26" t="s">
        <v>213</v>
      </c>
      <c r="C301" s="27" t="s">
        <v>293</v>
      </c>
      <c r="D301" s="27">
        <v>1824</v>
      </c>
      <c r="E301" s="44"/>
      <c r="F301" s="60">
        <v>44870</v>
      </c>
      <c r="G301" s="38" t="s">
        <v>29</v>
      </c>
      <c r="H301" s="28">
        <f t="shared" si="10"/>
        <v>2022</v>
      </c>
      <c r="I301" s="80"/>
    </row>
    <row r="302" spans="1:9" hidden="1">
      <c r="A302" s="43">
        <v>8385</v>
      </c>
      <c r="B302" s="26" t="s">
        <v>278</v>
      </c>
      <c r="C302" s="27" t="s">
        <v>341</v>
      </c>
      <c r="D302" s="27">
        <v>1140</v>
      </c>
      <c r="E302" s="44"/>
      <c r="F302" s="60">
        <v>44870</v>
      </c>
      <c r="G302" s="38" t="s">
        <v>29</v>
      </c>
      <c r="H302" s="28">
        <f t="shared" si="10"/>
        <v>2022</v>
      </c>
      <c r="I302" s="80"/>
    </row>
    <row r="303" spans="1:9" hidden="1">
      <c r="A303" s="43">
        <v>8387</v>
      </c>
      <c r="B303" s="26" t="s">
        <v>281</v>
      </c>
      <c r="C303" s="27" t="s">
        <v>293</v>
      </c>
      <c r="D303" s="27">
        <v>912</v>
      </c>
      <c r="E303" s="44"/>
      <c r="F303" s="60">
        <v>44690</v>
      </c>
      <c r="G303" s="38" t="s">
        <v>29</v>
      </c>
      <c r="H303" s="28">
        <f t="shared" si="10"/>
        <v>2022</v>
      </c>
      <c r="I303" s="80"/>
    </row>
    <row r="304" spans="1:9" hidden="1">
      <c r="A304" s="43">
        <v>8388</v>
      </c>
      <c r="B304" s="26" t="s">
        <v>320</v>
      </c>
      <c r="C304" s="27" t="s">
        <v>294</v>
      </c>
      <c r="D304" s="27">
        <v>684</v>
      </c>
      <c r="E304" s="44"/>
      <c r="F304" s="60">
        <v>44690</v>
      </c>
      <c r="G304" s="38" t="s">
        <v>29</v>
      </c>
      <c r="H304" s="28">
        <f t="shared" si="10"/>
        <v>2022</v>
      </c>
      <c r="I304" s="80"/>
    </row>
    <row r="305" spans="1:9" hidden="1">
      <c r="A305" s="43">
        <v>8389</v>
      </c>
      <c r="B305" s="26" t="s">
        <v>320</v>
      </c>
      <c r="C305" s="27" t="s">
        <v>293</v>
      </c>
      <c r="D305" s="27">
        <v>684</v>
      </c>
      <c r="E305" s="44"/>
      <c r="F305" s="60">
        <v>44690</v>
      </c>
      <c r="G305" s="38" t="s">
        <v>29</v>
      </c>
      <c r="H305" s="28">
        <f t="shared" si="10"/>
        <v>2022</v>
      </c>
      <c r="I305" s="80"/>
    </row>
    <row r="306" spans="1:9" ht="14.25" hidden="1" customHeight="1">
      <c r="A306" s="43">
        <v>8390</v>
      </c>
      <c r="B306" s="26" t="s">
        <v>317</v>
      </c>
      <c r="C306" s="27" t="s">
        <v>294</v>
      </c>
      <c r="D306" s="27">
        <v>570</v>
      </c>
      <c r="E306" s="44"/>
      <c r="F306" s="60">
        <v>44690</v>
      </c>
      <c r="G306" s="38" t="s">
        <v>29</v>
      </c>
      <c r="H306" s="28">
        <f t="shared" si="10"/>
        <v>2022</v>
      </c>
      <c r="I306" s="80"/>
    </row>
    <row r="307" spans="1:9" hidden="1">
      <c r="A307" s="43">
        <v>8392</v>
      </c>
      <c r="B307" s="26" t="s">
        <v>342</v>
      </c>
      <c r="C307" s="27" t="s">
        <v>293</v>
      </c>
      <c r="D307" s="27">
        <v>912</v>
      </c>
      <c r="E307" s="44"/>
      <c r="F307" s="60">
        <v>44690</v>
      </c>
      <c r="G307" s="38" t="s">
        <v>29</v>
      </c>
      <c r="H307" s="28">
        <f t="shared" ref="H307:H312" si="11">YEAR(F307)</f>
        <v>2022</v>
      </c>
      <c r="I307" s="80"/>
    </row>
    <row r="308" spans="1:9" hidden="1">
      <c r="A308" s="43">
        <v>8393</v>
      </c>
      <c r="B308" s="26" t="s">
        <v>299</v>
      </c>
      <c r="C308" s="27" t="s">
        <v>293</v>
      </c>
      <c r="D308" s="27">
        <v>912</v>
      </c>
      <c r="E308" s="44"/>
      <c r="F308" s="60">
        <v>44690</v>
      </c>
      <c r="G308" s="38" t="s">
        <v>29</v>
      </c>
      <c r="H308" s="28">
        <f t="shared" si="11"/>
        <v>2022</v>
      </c>
      <c r="I308" s="80"/>
    </row>
    <row r="309" spans="1:9" hidden="1">
      <c r="A309" s="43">
        <v>8394</v>
      </c>
      <c r="B309" s="26" t="s">
        <v>284</v>
      </c>
      <c r="C309" s="27" t="s">
        <v>293</v>
      </c>
      <c r="D309" s="27">
        <v>912</v>
      </c>
      <c r="E309" s="44"/>
      <c r="F309" s="60">
        <v>44690</v>
      </c>
      <c r="G309" s="38" t="s">
        <v>29</v>
      </c>
      <c r="H309" s="28">
        <f t="shared" si="11"/>
        <v>2022</v>
      </c>
      <c r="I309" s="80"/>
    </row>
    <row r="310" spans="1:9" hidden="1">
      <c r="A310" s="43">
        <v>8395</v>
      </c>
      <c r="B310" s="26" t="s">
        <v>303</v>
      </c>
      <c r="C310" s="27" t="s">
        <v>293</v>
      </c>
      <c r="D310" s="27">
        <v>665</v>
      </c>
      <c r="E310" s="44"/>
      <c r="F310" s="60">
        <v>44690</v>
      </c>
      <c r="G310" s="38" t="s">
        <v>29</v>
      </c>
      <c r="H310" s="28">
        <f t="shared" si="11"/>
        <v>2022</v>
      </c>
      <c r="I310" s="80"/>
    </row>
    <row r="311" spans="1:9" hidden="1">
      <c r="A311" s="43">
        <v>8396</v>
      </c>
      <c r="B311" s="26" t="s">
        <v>280</v>
      </c>
      <c r="C311" s="27" t="s">
        <v>293</v>
      </c>
      <c r="D311" s="27">
        <v>228</v>
      </c>
      <c r="E311" s="44"/>
      <c r="F311" s="60">
        <v>44690</v>
      </c>
      <c r="G311" s="38" t="s">
        <v>29</v>
      </c>
      <c r="H311" s="28">
        <f t="shared" si="11"/>
        <v>2022</v>
      </c>
      <c r="I311" s="80"/>
    </row>
    <row r="312" spans="1:9" hidden="1">
      <c r="A312" s="43">
        <v>8397</v>
      </c>
      <c r="B312" s="26" t="s">
        <v>217</v>
      </c>
      <c r="C312" s="27" t="s">
        <v>293</v>
      </c>
      <c r="D312" s="27">
        <v>760</v>
      </c>
      <c r="E312" s="44"/>
      <c r="F312" s="60">
        <v>44690</v>
      </c>
      <c r="G312" s="38" t="s">
        <v>29</v>
      </c>
      <c r="H312" s="28">
        <f t="shared" si="11"/>
        <v>2022</v>
      </c>
      <c r="I312" s="80"/>
    </row>
    <row r="313" spans="1:9" hidden="1">
      <c r="A313" s="43">
        <v>8400</v>
      </c>
      <c r="B313" s="36" t="s">
        <v>161</v>
      </c>
      <c r="C313" s="27" t="s">
        <v>248</v>
      </c>
      <c r="D313" s="27">
        <v>2334</v>
      </c>
      <c r="E313" s="44"/>
      <c r="F313" s="60">
        <v>44614</v>
      </c>
      <c r="G313" s="45" t="s">
        <v>29</v>
      </c>
      <c r="H313" s="28">
        <f t="shared" ref="H313:H327" si="12">YEAR(F313)</f>
        <v>2022</v>
      </c>
      <c r="I313" s="80"/>
    </row>
    <row r="314" spans="1:9" hidden="1">
      <c r="A314" s="43">
        <v>8401</v>
      </c>
      <c r="B314" s="36" t="s">
        <v>150</v>
      </c>
      <c r="C314" s="27" t="s">
        <v>248</v>
      </c>
      <c r="D314" s="27">
        <v>7780</v>
      </c>
      <c r="E314" s="44"/>
      <c r="F314" s="60">
        <v>44614</v>
      </c>
      <c r="G314" s="45" t="s">
        <v>29</v>
      </c>
      <c r="H314" s="28">
        <f t="shared" si="12"/>
        <v>2022</v>
      </c>
      <c r="I314" s="80"/>
    </row>
    <row r="315" spans="1:9" hidden="1">
      <c r="A315" s="43">
        <v>8402</v>
      </c>
      <c r="B315" s="36" t="s">
        <v>195</v>
      </c>
      <c r="C315" s="34" t="s">
        <v>294</v>
      </c>
      <c r="D315" s="34">
        <v>912</v>
      </c>
      <c r="E315" s="40"/>
      <c r="F315" s="60">
        <v>44749</v>
      </c>
      <c r="G315" s="45" t="s">
        <v>29</v>
      </c>
      <c r="H315" s="28">
        <f t="shared" si="12"/>
        <v>2022</v>
      </c>
      <c r="I315" s="80"/>
    </row>
    <row r="316" spans="1:9" hidden="1">
      <c r="A316" s="43">
        <v>8403</v>
      </c>
      <c r="B316" s="36" t="s">
        <v>207</v>
      </c>
      <c r="C316" s="34" t="s">
        <v>293</v>
      </c>
      <c r="D316" s="34">
        <v>4560</v>
      </c>
      <c r="E316" s="40"/>
      <c r="F316" s="60">
        <v>44812</v>
      </c>
      <c r="G316" s="45" t="s">
        <v>29</v>
      </c>
      <c r="H316" s="28">
        <f t="shared" si="12"/>
        <v>2022</v>
      </c>
      <c r="I316" s="80"/>
    </row>
    <row r="317" spans="1:9" hidden="1">
      <c r="A317" s="43">
        <v>8404</v>
      </c>
      <c r="B317" s="36" t="s">
        <v>181</v>
      </c>
      <c r="C317" s="34" t="s">
        <v>267</v>
      </c>
      <c r="D317" s="34">
        <v>1824</v>
      </c>
      <c r="E317" s="40"/>
      <c r="F317" s="60">
        <v>44812</v>
      </c>
      <c r="G317" s="48" t="s">
        <v>29</v>
      </c>
      <c r="H317" s="28">
        <f t="shared" si="12"/>
        <v>2022</v>
      </c>
      <c r="I317" s="80"/>
    </row>
    <row r="318" spans="1:9" hidden="1">
      <c r="A318" s="43">
        <v>8405</v>
      </c>
      <c r="B318" s="36" t="s">
        <v>187</v>
      </c>
      <c r="C318" s="34" t="s">
        <v>267</v>
      </c>
      <c r="D318" s="34">
        <v>1140</v>
      </c>
      <c r="E318" s="40"/>
      <c r="F318" s="60">
        <v>44812</v>
      </c>
      <c r="G318" s="48" t="s">
        <v>29</v>
      </c>
      <c r="H318" s="28">
        <f t="shared" si="12"/>
        <v>2022</v>
      </c>
      <c r="I318" s="80"/>
    </row>
    <row r="319" spans="1:9" hidden="1">
      <c r="A319" s="43">
        <v>8406</v>
      </c>
      <c r="B319" s="36" t="s">
        <v>164</v>
      </c>
      <c r="C319" s="34" t="s">
        <v>253</v>
      </c>
      <c r="D319" s="34">
        <v>912</v>
      </c>
      <c r="E319" s="40"/>
      <c r="F319" s="60">
        <v>44812</v>
      </c>
      <c r="G319" s="48" t="s">
        <v>29</v>
      </c>
      <c r="H319" s="28">
        <f t="shared" si="12"/>
        <v>2022</v>
      </c>
      <c r="I319" s="80"/>
    </row>
    <row r="320" spans="1:9" hidden="1">
      <c r="A320" s="43">
        <v>8407</v>
      </c>
      <c r="B320" s="36" t="s">
        <v>171</v>
      </c>
      <c r="C320" s="34" t="s">
        <v>253</v>
      </c>
      <c r="D320" s="34">
        <v>1596</v>
      </c>
      <c r="E320" s="40"/>
      <c r="F320" s="60">
        <v>44812</v>
      </c>
      <c r="G320" s="48" t="s">
        <v>29</v>
      </c>
      <c r="H320" s="28">
        <f t="shared" si="12"/>
        <v>2022</v>
      </c>
      <c r="I320" s="80"/>
    </row>
    <row r="321" spans="1:9" hidden="1">
      <c r="A321" s="43">
        <v>8408</v>
      </c>
      <c r="B321" s="36" t="s">
        <v>334</v>
      </c>
      <c r="C321" s="34" t="s">
        <v>253</v>
      </c>
      <c r="D321" s="34">
        <v>684</v>
      </c>
      <c r="E321" s="40"/>
      <c r="F321" s="60">
        <v>44812</v>
      </c>
      <c r="G321" s="48" t="s">
        <v>29</v>
      </c>
      <c r="H321" s="28">
        <f t="shared" si="12"/>
        <v>2022</v>
      </c>
      <c r="I321" s="80"/>
    </row>
    <row r="322" spans="1:9" hidden="1">
      <c r="A322" s="43">
        <v>8409</v>
      </c>
      <c r="B322" s="36" t="s">
        <v>153</v>
      </c>
      <c r="C322" s="34" t="s">
        <v>248</v>
      </c>
      <c r="D322" s="34">
        <v>9336</v>
      </c>
      <c r="E322" s="40"/>
      <c r="F322" s="60">
        <v>44838</v>
      </c>
      <c r="G322" s="59" t="s">
        <v>29</v>
      </c>
      <c r="H322" s="28">
        <f t="shared" si="12"/>
        <v>2022</v>
      </c>
      <c r="I322" s="80"/>
    </row>
    <row r="323" spans="1:9" hidden="1">
      <c r="A323" s="43">
        <v>8410</v>
      </c>
      <c r="B323" s="36" t="s">
        <v>343</v>
      </c>
      <c r="C323" s="34" t="s">
        <v>248</v>
      </c>
      <c r="D323" s="34">
        <v>4668</v>
      </c>
      <c r="E323" s="40"/>
      <c r="F323" s="60">
        <v>44838</v>
      </c>
      <c r="G323" s="48" t="s">
        <v>29</v>
      </c>
      <c r="H323" s="28">
        <f t="shared" si="12"/>
        <v>2022</v>
      </c>
      <c r="I323" s="80"/>
    </row>
    <row r="324" spans="1:9" hidden="1">
      <c r="A324" s="43">
        <v>8411</v>
      </c>
      <c r="B324" s="36" t="s">
        <v>300</v>
      </c>
      <c r="C324" s="34" t="s">
        <v>248</v>
      </c>
      <c r="D324" s="34">
        <v>1584</v>
      </c>
      <c r="E324" s="40"/>
      <c r="F324" s="60">
        <v>44690</v>
      </c>
      <c r="G324" s="38" t="s">
        <v>29</v>
      </c>
      <c r="H324" s="28">
        <f t="shared" si="12"/>
        <v>2022</v>
      </c>
      <c r="I324" s="80"/>
    </row>
    <row r="325" spans="1:9" hidden="1">
      <c r="A325" s="43">
        <v>8412</v>
      </c>
      <c r="B325" s="36" t="s">
        <v>157</v>
      </c>
      <c r="C325" s="34" t="s">
        <v>253</v>
      </c>
      <c r="D325" s="34">
        <v>1368</v>
      </c>
      <c r="E325" s="40"/>
      <c r="F325" s="60">
        <v>44690</v>
      </c>
      <c r="G325" s="38" t="s">
        <v>29</v>
      </c>
      <c r="H325" s="28">
        <f t="shared" si="12"/>
        <v>2022</v>
      </c>
      <c r="I325" s="80"/>
    </row>
    <row r="326" spans="1:9" hidden="1">
      <c r="A326" s="43">
        <v>8413</v>
      </c>
      <c r="B326" s="36" t="s">
        <v>158</v>
      </c>
      <c r="C326" s="34" t="s">
        <v>253</v>
      </c>
      <c r="D326" s="34">
        <v>1140</v>
      </c>
      <c r="E326" s="40"/>
      <c r="F326" s="60">
        <v>44690</v>
      </c>
      <c r="G326" s="38" t="s">
        <v>29</v>
      </c>
      <c r="H326" s="28">
        <f t="shared" si="12"/>
        <v>2022</v>
      </c>
      <c r="I326" s="80"/>
    </row>
    <row r="327" spans="1:9" hidden="1">
      <c r="A327" s="43">
        <v>8414</v>
      </c>
      <c r="B327" s="36" t="s">
        <v>177</v>
      </c>
      <c r="C327" s="34" t="s">
        <v>253</v>
      </c>
      <c r="D327" s="34">
        <v>1140</v>
      </c>
      <c r="E327" s="40"/>
      <c r="F327" s="60">
        <v>44690</v>
      </c>
      <c r="G327" s="38" t="s">
        <v>29</v>
      </c>
      <c r="H327" s="28">
        <f t="shared" si="12"/>
        <v>2022</v>
      </c>
      <c r="I327" s="80"/>
    </row>
    <row r="328" spans="1:9" hidden="1">
      <c r="A328" s="43">
        <v>8416</v>
      </c>
      <c r="B328" s="49" t="s">
        <v>337</v>
      </c>
      <c r="C328" s="35" t="s">
        <v>293</v>
      </c>
      <c r="D328" s="35">
        <v>912</v>
      </c>
      <c r="E328" s="41"/>
      <c r="F328" s="60">
        <v>44690</v>
      </c>
      <c r="G328" s="38" t="s">
        <v>29</v>
      </c>
      <c r="H328" s="28">
        <f t="shared" ref="H328:H361" si="13">YEAR(F328)</f>
        <v>2022</v>
      </c>
      <c r="I328" s="80"/>
    </row>
    <row r="329" spans="1:9" hidden="1">
      <c r="A329" s="43">
        <v>8417</v>
      </c>
      <c r="B329" s="36" t="s">
        <v>281</v>
      </c>
      <c r="C329" s="34" t="s">
        <v>267</v>
      </c>
      <c r="D329" s="34">
        <v>912</v>
      </c>
      <c r="E329" s="52"/>
      <c r="F329" s="60">
        <v>44690</v>
      </c>
      <c r="G329" s="38" t="s">
        <v>29</v>
      </c>
      <c r="H329" s="28">
        <f t="shared" si="13"/>
        <v>2022</v>
      </c>
      <c r="I329" s="80"/>
    </row>
    <row r="330" spans="1:9" hidden="1">
      <c r="A330" s="43">
        <v>8418</v>
      </c>
      <c r="B330" s="36" t="s">
        <v>167</v>
      </c>
      <c r="C330" s="34" t="s">
        <v>253</v>
      </c>
      <c r="D330" s="34">
        <v>1368</v>
      </c>
      <c r="E330" s="52"/>
      <c r="F330" s="60">
        <v>44690</v>
      </c>
      <c r="G330" s="38" t="s">
        <v>29</v>
      </c>
      <c r="H330" s="28">
        <f t="shared" si="13"/>
        <v>2022</v>
      </c>
      <c r="I330" s="80"/>
    </row>
    <row r="331" spans="1:9" hidden="1">
      <c r="A331" s="43">
        <v>8419</v>
      </c>
      <c r="B331" s="50" t="s">
        <v>149</v>
      </c>
      <c r="C331" s="37" t="s">
        <v>248</v>
      </c>
      <c r="D331" s="37">
        <v>15560</v>
      </c>
      <c r="E331" s="57"/>
      <c r="F331" s="60">
        <v>44875</v>
      </c>
      <c r="G331" s="38" t="s">
        <v>29</v>
      </c>
      <c r="H331" s="28">
        <f t="shared" si="13"/>
        <v>2022</v>
      </c>
      <c r="I331" s="80"/>
    </row>
    <row r="332" spans="1:9" hidden="1">
      <c r="A332" s="43">
        <v>8420</v>
      </c>
      <c r="B332" s="50" t="s">
        <v>148</v>
      </c>
      <c r="C332" s="37" t="s">
        <v>248</v>
      </c>
      <c r="D332" s="37">
        <v>2334</v>
      </c>
      <c r="E332" s="57"/>
      <c r="F332" s="60">
        <v>44875</v>
      </c>
      <c r="G332" s="38" t="s">
        <v>29</v>
      </c>
      <c r="H332" s="28">
        <f t="shared" si="13"/>
        <v>2022</v>
      </c>
      <c r="I332" s="80"/>
    </row>
    <row r="333" spans="1:9" hidden="1">
      <c r="A333" s="43">
        <v>8421</v>
      </c>
      <c r="B333" s="51" t="s">
        <v>166</v>
      </c>
      <c r="C333" s="39" t="s">
        <v>253</v>
      </c>
      <c r="D333" s="39">
        <v>912</v>
      </c>
      <c r="E333" s="58"/>
      <c r="F333" s="60">
        <v>44875</v>
      </c>
      <c r="G333" s="38" t="s">
        <v>29</v>
      </c>
      <c r="H333" s="28">
        <f t="shared" si="13"/>
        <v>2022</v>
      </c>
      <c r="I333" s="80"/>
    </row>
    <row r="334" spans="1:9" hidden="1">
      <c r="A334" s="43">
        <v>8422</v>
      </c>
      <c r="B334" s="36" t="s">
        <v>325</v>
      </c>
      <c r="C334" s="34" t="s">
        <v>267</v>
      </c>
      <c r="D334" s="34">
        <v>3192</v>
      </c>
      <c r="E334" s="40"/>
      <c r="F334" s="60">
        <v>44875</v>
      </c>
      <c r="G334" s="38" t="s">
        <v>29</v>
      </c>
      <c r="H334" s="28">
        <f t="shared" si="13"/>
        <v>2022</v>
      </c>
      <c r="I334" s="80"/>
    </row>
    <row r="335" spans="1:9" hidden="1">
      <c r="A335" s="43">
        <v>8423</v>
      </c>
      <c r="B335" s="36" t="s">
        <v>344</v>
      </c>
      <c r="C335" s="34" t="s">
        <v>341</v>
      </c>
      <c r="D335" s="34">
        <v>912</v>
      </c>
      <c r="E335" s="40"/>
      <c r="F335" s="60">
        <v>44920</v>
      </c>
      <c r="G335" s="38" t="s">
        <v>29</v>
      </c>
      <c r="H335" s="28">
        <f t="shared" si="13"/>
        <v>2022</v>
      </c>
      <c r="I335" s="80"/>
    </row>
    <row r="336" spans="1:9" hidden="1">
      <c r="A336" s="43">
        <v>8424</v>
      </c>
      <c r="B336" s="36" t="s">
        <v>209</v>
      </c>
      <c r="C336" s="34" t="s">
        <v>341</v>
      </c>
      <c r="D336" s="34">
        <v>3648</v>
      </c>
      <c r="E336" s="40"/>
      <c r="F336" s="60">
        <v>44875</v>
      </c>
      <c r="G336" s="48" t="s">
        <v>29</v>
      </c>
      <c r="H336" s="28">
        <f t="shared" si="13"/>
        <v>2022</v>
      </c>
      <c r="I336" s="80"/>
    </row>
    <row r="337" spans="1:9" hidden="1">
      <c r="A337" s="43">
        <v>8425</v>
      </c>
      <c r="B337" s="36" t="s">
        <v>295</v>
      </c>
      <c r="C337" s="34" t="s">
        <v>341</v>
      </c>
      <c r="D337" s="34">
        <v>1140</v>
      </c>
      <c r="E337" s="40"/>
      <c r="F337" s="60">
        <v>44875</v>
      </c>
      <c r="G337" s="48" t="s">
        <v>29</v>
      </c>
      <c r="H337" s="28">
        <f t="shared" si="13"/>
        <v>2022</v>
      </c>
      <c r="I337" s="80"/>
    </row>
    <row r="338" spans="1:9" hidden="1">
      <c r="A338" s="43">
        <v>8426</v>
      </c>
      <c r="B338" s="49" t="s">
        <v>213</v>
      </c>
      <c r="C338" s="35" t="s">
        <v>341</v>
      </c>
      <c r="D338" s="35">
        <v>2280</v>
      </c>
      <c r="E338" s="41"/>
      <c r="F338" s="60">
        <v>44932</v>
      </c>
      <c r="G338" s="59" t="s">
        <v>29</v>
      </c>
      <c r="H338" s="28">
        <f t="shared" si="13"/>
        <v>2023</v>
      </c>
      <c r="I338" s="80"/>
    </row>
    <row r="339" spans="1:9" hidden="1">
      <c r="A339" s="43">
        <v>8427</v>
      </c>
      <c r="B339" s="36" t="s">
        <v>145</v>
      </c>
      <c r="C339" s="34" t="s">
        <v>248</v>
      </c>
      <c r="D339" s="34">
        <v>2334</v>
      </c>
      <c r="E339" s="40"/>
      <c r="F339" s="60">
        <v>44920</v>
      </c>
      <c r="G339" s="48" t="s">
        <v>29</v>
      </c>
      <c r="H339" s="28">
        <f t="shared" si="13"/>
        <v>2022</v>
      </c>
      <c r="I339" s="80"/>
    </row>
    <row r="340" spans="1:9" hidden="1">
      <c r="A340" s="43">
        <v>8428</v>
      </c>
      <c r="B340" s="36" t="s">
        <v>147</v>
      </c>
      <c r="C340" s="34" t="s">
        <v>248</v>
      </c>
      <c r="D340" s="34">
        <v>3112</v>
      </c>
      <c r="E340" s="40"/>
      <c r="F340" s="60">
        <v>44920</v>
      </c>
      <c r="G340" s="48" t="s">
        <v>29</v>
      </c>
      <c r="H340" s="28">
        <f t="shared" si="13"/>
        <v>2022</v>
      </c>
      <c r="I340" s="80"/>
    </row>
    <row r="341" spans="1:9" hidden="1">
      <c r="A341" s="43">
        <v>8429</v>
      </c>
      <c r="B341" s="49" t="s">
        <v>146</v>
      </c>
      <c r="C341" s="35" t="s">
        <v>248</v>
      </c>
      <c r="D341" s="35">
        <v>7780</v>
      </c>
      <c r="E341" s="41"/>
      <c r="F341" s="60">
        <v>44920</v>
      </c>
      <c r="G341" s="59" t="s">
        <v>29</v>
      </c>
      <c r="H341" s="28">
        <f t="shared" si="13"/>
        <v>2022</v>
      </c>
      <c r="I341" s="80"/>
    </row>
    <row r="342" spans="1:9" hidden="1">
      <c r="A342" s="43">
        <v>8430</v>
      </c>
      <c r="B342" s="36" t="s">
        <v>335</v>
      </c>
      <c r="C342" s="34" t="s">
        <v>253</v>
      </c>
      <c r="D342" s="34">
        <v>2052</v>
      </c>
      <c r="E342" s="40"/>
      <c r="F342" s="60">
        <v>44920</v>
      </c>
      <c r="G342" s="48" t="s">
        <v>29</v>
      </c>
      <c r="H342" s="28">
        <f t="shared" si="13"/>
        <v>2022</v>
      </c>
      <c r="I342" s="80"/>
    </row>
    <row r="343" spans="1:9" hidden="1">
      <c r="A343" s="43">
        <v>8431</v>
      </c>
      <c r="B343" s="36" t="s">
        <v>330</v>
      </c>
      <c r="C343" s="34" t="s">
        <v>267</v>
      </c>
      <c r="D343" s="34">
        <v>4560</v>
      </c>
      <c r="E343" s="40"/>
      <c r="F343" s="60">
        <v>44920</v>
      </c>
      <c r="G343" s="48" t="s">
        <v>29</v>
      </c>
      <c r="H343" s="28">
        <f t="shared" si="13"/>
        <v>2022</v>
      </c>
      <c r="I343" s="80"/>
    </row>
    <row r="344" spans="1:9" hidden="1">
      <c r="A344" s="43">
        <v>8432</v>
      </c>
      <c r="B344" s="36" t="s">
        <v>308</v>
      </c>
      <c r="C344" s="34" t="s">
        <v>294</v>
      </c>
      <c r="D344" s="34">
        <v>228</v>
      </c>
      <c r="E344" s="40"/>
      <c r="F344" s="60">
        <v>44932</v>
      </c>
      <c r="G344" s="48" t="s">
        <v>29</v>
      </c>
      <c r="H344" s="28">
        <f t="shared" si="13"/>
        <v>2023</v>
      </c>
      <c r="I344" s="80"/>
    </row>
    <row r="345" spans="1:9" hidden="1">
      <c r="A345" s="43">
        <v>8433</v>
      </c>
      <c r="B345" s="36" t="s">
        <v>345</v>
      </c>
      <c r="C345" s="34" t="s">
        <v>293</v>
      </c>
      <c r="D345" s="34">
        <v>912</v>
      </c>
      <c r="E345" s="40"/>
      <c r="F345" s="60">
        <v>44920</v>
      </c>
      <c r="G345" s="38" t="s">
        <v>29</v>
      </c>
      <c r="H345" s="28">
        <f t="shared" si="13"/>
        <v>2022</v>
      </c>
      <c r="I345" s="80"/>
    </row>
    <row r="346" spans="1:9" hidden="1">
      <c r="A346" s="43">
        <v>8434</v>
      </c>
      <c r="B346" s="36" t="s">
        <v>346</v>
      </c>
      <c r="C346" s="34" t="s">
        <v>341</v>
      </c>
      <c r="D346" s="34">
        <v>1824</v>
      </c>
      <c r="E346" s="40"/>
      <c r="F346" s="60">
        <v>44920</v>
      </c>
      <c r="G346" s="38" t="s">
        <v>29</v>
      </c>
      <c r="H346" s="28">
        <f t="shared" si="13"/>
        <v>2022</v>
      </c>
      <c r="I346" s="80"/>
    </row>
    <row r="347" spans="1:9" hidden="1">
      <c r="A347" s="43">
        <v>8435</v>
      </c>
      <c r="B347" s="36" t="s">
        <v>161</v>
      </c>
      <c r="C347" s="34" t="s">
        <v>253</v>
      </c>
      <c r="D347" s="34">
        <v>684</v>
      </c>
      <c r="E347" s="40"/>
      <c r="F347" s="60">
        <v>44932</v>
      </c>
      <c r="G347" s="38" t="s">
        <v>29</v>
      </c>
      <c r="H347" s="28">
        <f t="shared" si="13"/>
        <v>2023</v>
      </c>
      <c r="I347" s="80"/>
    </row>
    <row r="348" spans="1:9" hidden="1">
      <c r="A348" s="43">
        <v>8436</v>
      </c>
      <c r="B348" s="36" t="s">
        <v>169</v>
      </c>
      <c r="C348" s="34" t="s">
        <v>253</v>
      </c>
      <c r="D348" s="34">
        <v>1824</v>
      </c>
      <c r="E348" s="40"/>
      <c r="F348" s="60">
        <v>44932</v>
      </c>
      <c r="G348" s="38" t="s">
        <v>29</v>
      </c>
      <c r="H348" s="28">
        <f t="shared" si="13"/>
        <v>2023</v>
      </c>
      <c r="I348" s="80"/>
    </row>
    <row r="349" spans="1:9" hidden="1">
      <c r="A349" s="43">
        <v>8437</v>
      </c>
      <c r="B349" s="36" t="s">
        <v>339</v>
      </c>
      <c r="C349" s="34" t="s">
        <v>253</v>
      </c>
      <c r="D349" s="34">
        <v>2280</v>
      </c>
      <c r="E349" s="40"/>
      <c r="F349" s="60">
        <v>44932</v>
      </c>
      <c r="G349" s="38" t="s">
        <v>29</v>
      </c>
      <c r="H349" s="28">
        <f t="shared" si="13"/>
        <v>2023</v>
      </c>
      <c r="I349" s="80"/>
    </row>
    <row r="350" spans="1:9" hidden="1">
      <c r="A350" s="43">
        <v>8438</v>
      </c>
      <c r="B350" s="36" t="s">
        <v>175</v>
      </c>
      <c r="C350" s="34" t="s">
        <v>253</v>
      </c>
      <c r="D350" s="34">
        <v>2280</v>
      </c>
      <c r="E350" s="40"/>
      <c r="F350" s="60">
        <v>44932</v>
      </c>
      <c r="G350" s="38" t="s">
        <v>29</v>
      </c>
      <c r="H350" s="28">
        <f t="shared" si="13"/>
        <v>2023</v>
      </c>
      <c r="I350" s="80"/>
    </row>
    <row r="351" spans="1:9" hidden="1">
      <c r="A351" s="43">
        <v>8439</v>
      </c>
      <c r="B351" s="36" t="s">
        <v>185</v>
      </c>
      <c r="C351" s="34" t="s">
        <v>267</v>
      </c>
      <c r="D351" s="34">
        <v>1596</v>
      </c>
      <c r="E351" s="40"/>
      <c r="F351" s="60">
        <v>44932</v>
      </c>
      <c r="G351" s="38" t="s">
        <v>29</v>
      </c>
      <c r="H351" s="28">
        <f t="shared" si="13"/>
        <v>2023</v>
      </c>
      <c r="I351" s="80"/>
    </row>
    <row r="352" spans="1:9" hidden="1">
      <c r="A352" s="43">
        <v>8440</v>
      </c>
      <c r="B352" s="36" t="s">
        <v>188</v>
      </c>
      <c r="C352" s="34" t="s">
        <v>267</v>
      </c>
      <c r="D352" s="34">
        <v>1140</v>
      </c>
      <c r="E352" s="40"/>
      <c r="F352" s="60">
        <v>44932</v>
      </c>
      <c r="G352" s="38" t="s">
        <v>29</v>
      </c>
      <c r="H352" s="28">
        <f t="shared" si="13"/>
        <v>2023</v>
      </c>
      <c r="I352" s="80"/>
    </row>
    <row r="353" spans="1:9" hidden="1">
      <c r="A353" s="43">
        <v>8441</v>
      </c>
      <c r="B353" s="49" t="s">
        <v>347</v>
      </c>
      <c r="C353" s="35" t="s">
        <v>267</v>
      </c>
      <c r="D353" s="35">
        <v>912</v>
      </c>
      <c r="E353" s="41"/>
      <c r="F353" s="60">
        <v>44932</v>
      </c>
      <c r="G353" s="38" t="s">
        <v>29</v>
      </c>
      <c r="H353" s="28">
        <f t="shared" si="13"/>
        <v>2023</v>
      </c>
      <c r="I353" s="80"/>
    </row>
    <row r="354" spans="1:9" hidden="1">
      <c r="A354" s="43">
        <v>8442</v>
      </c>
      <c r="B354" s="36" t="s">
        <v>266</v>
      </c>
      <c r="C354" s="34" t="s">
        <v>267</v>
      </c>
      <c r="D354" s="34">
        <v>1824</v>
      </c>
      <c r="E354" s="40"/>
      <c r="F354" s="60">
        <v>45123</v>
      </c>
      <c r="G354" s="38" t="s">
        <v>29</v>
      </c>
      <c r="H354" s="28">
        <f t="shared" si="13"/>
        <v>2023</v>
      </c>
      <c r="I354" s="80"/>
    </row>
    <row r="355" spans="1:9" hidden="1">
      <c r="A355" s="43">
        <v>8443</v>
      </c>
      <c r="B355" s="36" t="s">
        <v>197</v>
      </c>
      <c r="C355" s="34" t="s">
        <v>294</v>
      </c>
      <c r="D355" s="34">
        <v>1824</v>
      </c>
      <c r="E355" s="40"/>
      <c r="F355" s="60">
        <v>45123</v>
      </c>
      <c r="G355" s="38" t="s">
        <v>29</v>
      </c>
      <c r="H355" s="28">
        <f t="shared" si="13"/>
        <v>2023</v>
      </c>
      <c r="I355" s="80"/>
    </row>
    <row r="356" spans="1:9" hidden="1">
      <c r="A356" s="43">
        <v>8444</v>
      </c>
      <c r="B356" s="36" t="s">
        <v>348</v>
      </c>
      <c r="C356" s="34" t="s">
        <v>294</v>
      </c>
      <c r="D356" s="34">
        <v>912</v>
      </c>
      <c r="E356" s="40"/>
      <c r="F356" s="60">
        <v>45123</v>
      </c>
      <c r="G356" s="38" t="s">
        <v>29</v>
      </c>
      <c r="H356" s="28">
        <f t="shared" si="13"/>
        <v>2023</v>
      </c>
      <c r="I356" s="80"/>
    </row>
    <row r="357" spans="1:9" hidden="1">
      <c r="A357" s="43">
        <v>8445</v>
      </c>
      <c r="B357" s="36" t="s">
        <v>80</v>
      </c>
      <c r="C357" s="34" t="s">
        <v>293</v>
      </c>
      <c r="D357" s="34">
        <v>912</v>
      </c>
      <c r="E357" s="40"/>
      <c r="F357" s="60">
        <v>45123</v>
      </c>
      <c r="G357" s="38" t="s">
        <v>29</v>
      </c>
      <c r="H357" s="28">
        <f t="shared" si="13"/>
        <v>2023</v>
      </c>
      <c r="I357" s="80"/>
    </row>
    <row r="358" spans="1:9" hidden="1">
      <c r="A358" s="43">
        <v>8446</v>
      </c>
      <c r="B358" s="36" t="s">
        <v>200</v>
      </c>
      <c r="C358" s="34" t="s">
        <v>293</v>
      </c>
      <c r="D358" s="34">
        <v>912</v>
      </c>
      <c r="E358" s="40"/>
      <c r="F358" s="60">
        <v>45123</v>
      </c>
      <c r="G358" s="38" t="s">
        <v>29</v>
      </c>
      <c r="H358" s="28">
        <f t="shared" si="13"/>
        <v>2023</v>
      </c>
      <c r="I358" s="80"/>
    </row>
    <row r="359" spans="1:9" hidden="1">
      <c r="A359" s="43">
        <v>8447</v>
      </c>
      <c r="B359" s="36" t="s">
        <v>206</v>
      </c>
      <c r="C359" s="34" t="s">
        <v>293</v>
      </c>
      <c r="D359" s="34">
        <v>912</v>
      </c>
      <c r="E359" s="40"/>
      <c r="F359" s="60">
        <v>45123</v>
      </c>
      <c r="G359" s="38" t="s">
        <v>29</v>
      </c>
      <c r="H359" s="28">
        <f t="shared" si="13"/>
        <v>2023</v>
      </c>
      <c r="I359" s="80"/>
    </row>
    <row r="360" spans="1:9" hidden="1">
      <c r="A360" s="43">
        <v>8448</v>
      </c>
      <c r="B360" s="36" t="s">
        <v>217</v>
      </c>
      <c r="C360" s="34" t="s">
        <v>341</v>
      </c>
      <c r="D360" s="34">
        <v>912</v>
      </c>
      <c r="E360" s="40"/>
      <c r="F360" s="60">
        <v>45123</v>
      </c>
      <c r="G360" s="38" t="s">
        <v>29</v>
      </c>
      <c r="H360" s="28">
        <f t="shared" si="13"/>
        <v>2023</v>
      </c>
      <c r="I360" s="80"/>
    </row>
    <row r="361" spans="1:9" hidden="1">
      <c r="A361" s="43">
        <v>8449</v>
      </c>
      <c r="B361" s="36" t="s">
        <v>280</v>
      </c>
      <c r="C361" s="34" t="s">
        <v>267</v>
      </c>
      <c r="D361" s="34">
        <v>684</v>
      </c>
      <c r="E361" s="40"/>
      <c r="F361" s="60">
        <v>45123</v>
      </c>
      <c r="G361" s="38" t="s">
        <v>29</v>
      </c>
      <c r="H361" s="28">
        <f t="shared" si="13"/>
        <v>2023</v>
      </c>
      <c r="I361" s="80"/>
    </row>
    <row r="362" spans="1:9" hidden="1">
      <c r="A362" s="43">
        <v>8451</v>
      </c>
      <c r="B362" s="36" t="s">
        <v>164</v>
      </c>
      <c r="C362" s="34" t="s">
        <v>267</v>
      </c>
      <c r="D362" s="34">
        <v>912</v>
      </c>
      <c r="E362" s="40"/>
      <c r="F362" s="60">
        <v>45123</v>
      </c>
      <c r="G362" s="59" t="s">
        <v>29</v>
      </c>
      <c r="H362" s="28">
        <f t="shared" ref="H362:H377" si="14">YEAR(F362)</f>
        <v>2023</v>
      </c>
      <c r="I362" s="80"/>
    </row>
    <row r="363" spans="1:9" hidden="1">
      <c r="A363" s="43">
        <v>8452</v>
      </c>
      <c r="B363" s="36" t="s">
        <v>171</v>
      </c>
      <c r="C363" s="34" t="s">
        <v>267</v>
      </c>
      <c r="D363" s="34">
        <v>1596</v>
      </c>
      <c r="E363" s="40"/>
      <c r="F363" s="60">
        <v>45123</v>
      </c>
      <c r="G363" s="59" t="s">
        <v>29</v>
      </c>
      <c r="H363" s="28">
        <f t="shared" si="14"/>
        <v>2023</v>
      </c>
      <c r="I363" s="80"/>
    </row>
    <row r="364" spans="1:9" hidden="1">
      <c r="A364" s="43">
        <v>8453</v>
      </c>
      <c r="B364" s="36" t="s">
        <v>334</v>
      </c>
      <c r="C364" s="34" t="s">
        <v>267</v>
      </c>
      <c r="D364" s="34">
        <v>684</v>
      </c>
      <c r="E364" s="40"/>
      <c r="F364" s="60">
        <v>45123</v>
      </c>
      <c r="G364" s="59" t="s">
        <v>29</v>
      </c>
      <c r="H364" s="28">
        <f t="shared" si="14"/>
        <v>2023</v>
      </c>
      <c r="I364" s="80"/>
    </row>
    <row r="365" spans="1:9" hidden="1">
      <c r="A365" s="43">
        <v>8454</v>
      </c>
      <c r="B365" s="36" t="s">
        <v>338</v>
      </c>
      <c r="C365" s="34" t="s">
        <v>253</v>
      </c>
      <c r="D365" s="34">
        <v>684</v>
      </c>
      <c r="E365" s="40"/>
      <c r="F365" s="60">
        <v>45123</v>
      </c>
      <c r="G365" s="59" t="s">
        <v>29</v>
      </c>
      <c r="H365" s="28">
        <f t="shared" si="14"/>
        <v>2023</v>
      </c>
      <c r="I365" s="80"/>
    </row>
    <row r="366" spans="1:9" hidden="1">
      <c r="A366" s="43">
        <v>8455</v>
      </c>
      <c r="B366" s="36" t="s">
        <v>338</v>
      </c>
      <c r="C366" s="34" t="s">
        <v>267</v>
      </c>
      <c r="D366" s="34">
        <v>684</v>
      </c>
      <c r="E366" s="40"/>
      <c r="F366" s="60">
        <v>45123</v>
      </c>
      <c r="G366" s="59" t="s">
        <v>29</v>
      </c>
      <c r="H366" s="28">
        <f t="shared" si="14"/>
        <v>2023</v>
      </c>
      <c r="I366" s="80"/>
    </row>
    <row r="367" spans="1:9" hidden="1">
      <c r="A367" s="43">
        <v>8456</v>
      </c>
      <c r="B367" s="36" t="s">
        <v>137</v>
      </c>
      <c r="C367" s="34" t="s">
        <v>248</v>
      </c>
      <c r="D367" s="34">
        <v>3112</v>
      </c>
      <c r="E367" s="40"/>
      <c r="F367" s="60">
        <v>45141</v>
      </c>
      <c r="G367" s="59" t="s">
        <v>29</v>
      </c>
      <c r="H367" s="28">
        <f t="shared" si="14"/>
        <v>2023</v>
      </c>
      <c r="I367" s="80"/>
    </row>
    <row r="368" spans="1:9" hidden="1">
      <c r="A368" s="43">
        <v>8457</v>
      </c>
      <c r="B368" s="36" t="s">
        <v>349</v>
      </c>
      <c r="C368" s="34" t="s">
        <v>248</v>
      </c>
      <c r="D368" s="34">
        <v>3112</v>
      </c>
      <c r="E368" s="40"/>
      <c r="F368" s="60">
        <v>45141</v>
      </c>
      <c r="G368" s="59" t="s">
        <v>29</v>
      </c>
      <c r="H368" s="28">
        <f t="shared" si="14"/>
        <v>2023</v>
      </c>
      <c r="I368" s="80"/>
    </row>
    <row r="369" spans="1:9" hidden="1">
      <c r="A369" s="43">
        <v>8458</v>
      </c>
      <c r="B369" s="36" t="s">
        <v>350</v>
      </c>
      <c r="C369" s="34" t="s">
        <v>248</v>
      </c>
      <c r="D369" s="34">
        <v>14004</v>
      </c>
      <c r="E369" s="40"/>
      <c r="F369" s="60">
        <v>45123</v>
      </c>
      <c r="G369" s="59" t="s">
        <v>29</v>
      </c>
      <c r="H369" s="28">
        <f t="shared" si="14"/>
        <v>2023</v>
      </c>
      <c r="I369" s="80"/>
    </row>
    <row r="370" spans="1:9" hidden="1">
      <c r="A370" s="43">
        <v>8459</v>
      </c>
      <c r="B370" s="36" t="s">
        <v>144</v>
      </c>
      <c r="C370" s="34" t="s">
        <v>248</v>
      </c>
      <c r="D370" s="34">
        <v>7780</v>
      </c>
      <c r="E370" s="40"/>
      <c r="F370" s="60">
        <v>44989</v>
      </c>
      <c r="G370" s="59" t="s">
        <v>29</v>
      </c>
      <c r="H370" s="28">
        <f t="shared" si="14"/>
        <v>2023</v>
      </c>
      <c r="I370" s="80"/>
    </row>
    <row r="371" spans="1:9" hidden="1">
      <c r="A371" s="43">
        <v>8460</v>
      </c>
      <c r="B371" s="36" t="s">
        <v>150</v>
      </c>
      <c r="C371" s="34" t="s">
        <v>253</v>
      </c>
      <c r="D371" s="34">
        <v>2280</v>
      </c>
      <c r="E371" s="40"/>
      <c r="F371" s="60">
        <v>45123</v>
      </c>
      <c r="G371" s="59" t="s">
        <v>29</v>
      </c>
      <c r="H371" s="28">
        <f t="shared" si="14"/>
        <v>2023</v>
      </c>
      <c r="I371" s="80"/>
    </row>
    <row r="372" spans="1:9" hidden="1">
      <c r="A372" s="43">
        <v>8461</v>
      </c>
      <c r="B372" s="36" t="s">
        <v>159</v>
      </c>
      <c r="C372" s="34" t="s">
        <v>253</v>
      </c>
      <c r="D372" s="34">
        <v>4104</v>
      </c>
      <c r="E372" s="40"/>
      <c r="F372" s="60">
        <v>45123</v>
      </c>
      <c r="G372" s="59" t="s">
        <v>29</v>
      </c>
      <c r="H372" s="28">
        <f t="shared" si="14"/>
        <v>2023</v>
      </c>
      <c r="I372" s="80"/>
    </row>
    <row r="373" spans="1:9" hidden="1">
      <c r="A373" s="43">
        <v>8462</v>
      </c>
      <c r="B373" s="36" t="s">
        <v>178</v>
      </c>
      <c r="C373" s="34" t="s">
        <v>267</v>
      </c>
      <c r="D373" s="34">
        <v>2736</v>
      </c>
      <c r="E373" s="40"/>
      <c r="F373" s="60">
        <v>45123</v>
      </c>
      <c r="G373" s="59" t="s">
        <v>29</v>
      </c>
      <c r="H373" s="28">
        <f t="shared" si="14"/>
        <v>2023</v>
      </c>
      <c r="I373" s="80"/>
    </row>
    <row r="374" spans="1:9" hidden="1">
      <c r="A374" s="43">
        <v>8463</v>
      </c>
      <c r="B374" s="36" t="s">
        <v>181</v>
      </c>
      <c r="C374" s="34" t="s">
        <v>294</v>
      </c>
      <c r="D374" s="34">
        <v>1824</v>
      </c>
      <c r="E374" s="40"/>
      <c r="F374" s="60">
        <v>45123</v>
      </c>
      <c r="G374" s="59" t="s">
        <v>29</v>
      </c>
      <c r="H374" s="28">
        <f t="shared" si="14"/>
        <v>2023</v>
      </c>
      <c r="I374" s="80"/>
    </row>
    <row r="375" spans="1:9" hidden="1">
      <c r="A375" s="43">
        <v>8464</v>
      </c>
      <c r="B375" s="36" t="s">
        <v>338</v>
      </c>
      <c r="C375" s="34" t="s">
        <v>294</v>
      </c>
      <c r="D375" s="34">
        <v>684</v>
      </c>
      <c r="E375" s="40"/>
      <c r="F375" s="60">
        <v>45123</v>
      </c>
      <c r="G375" s="59" t="s">
        <v>29</v>
      </c>
      <c r="H375" s="28">
        <f t="shared" si="14"/>
        <v>2023</v>
      </c>
      <c r="I375" s="80"/>
    </row>
    <row r="376" spans="1:9" hidden="1">
      <c r="A376" s="43">
        <v>8465</v>
      </c>
      <c r="B376" s="36" t="s">
        <v>207</v>
      </c>
      <c r="C376" s="34" t="s">
        <v>341</v>
      </c>
      <c r="D376" s="34">
        <v>4560</v>
      </c>
      <c r="E376" s="40"/>
      <c r="F376" s="60">
        <v>45123</v>
      </c>
      <c r="G376" s="59" t="s">
        <v>29</v>
      </c>
      <c r="H376" s="28">
        <f t="shared" si="14"/>
        <v>2023</v>
      </c>
      <c r="I376" s="80"/>
    </row>
    <row r="377" spans="1:9" hidden="1">
      <c r="A377" s="43">
        <v>8466</v>
      </c>
      <c r="B377" s="36" t="s">
        <v>211</v>
      </c>
      <c r="C377" s="34" t="s">
        <v>294</v>
      </c>
      <c r="D377" s="34">
        <v>1824</v>
      </c>
      <c r="E377" s="40"/>
      <c r="F377" s="60">
        <v>45123</v>
      </c>
      <c r="G377" s="59" t="s">
        <v>29</v>
      </c>
      <c r="H377" s="28">
        <f t="shared" si="14"/>
        <v>2023</v>
      </c>
      <c r="I377" s="80"/>
    </row>
    <row r="378" spans="1:9" hidden="1">
      <c r="A378" s="43">
        <v>8468</v>
      </c>
      <c r="B378" s="36" t="s">
        <v>142</v>
      </c>
      <c r="C378" s="34" t="s">
        <v>248</v>
      </c>
      <c r="D378" s="34">
        <v>4668</v>
      </c>
      <c r="E378" s="40"/>
      <c r="F378" s="60">
        <v>45123</v>
      </c>
      <c r="G378" s="59" t="s">
        <v>29</v>
      </c>
      <c r="H378" s="28">
        <f t="shared" ref="H378:H394" si="15">YEAR(F378)</f>
        <v>2023</v>
      </c>
      <c r="I378" s="80"/>
    </row>
    <row r="379" spans="1:9" hidden="1">
      <c r="A379" s="43">
        <v>8469</v>
      </c>
      <c r="B379" s="36" t="s">
        <v>187</v>
      </c>
      <c r="C379" s="34" t="s">
        <v>294</v>
      </c>
      <c r="D379" s="34">
        <v>684</v>
      </c>
      <c r="E379" s="40"/>
      <c r="F379" s="60">
        <v>45123</v>
      </c>
      <c r="G379" s="59" t="s">
        <v>29</v>
      </c>
      <c r="H379" s="28">
        <f t="shared" si="15"/>
        <v>2023</v>
      </c>
      <c r="I379" s="80"/>
    </row>
    <row r="380" spans="1:9" hidden="1">
      <c r="A380" s="43">
        <v>8470</v>
      </c>
      <c r="B380" s="36" t="s">
        <v>195</v>
      </c>
      <c r="C380" s="34" t="s">
        <v>293</v>
      </c>
      <c r="D380" s="34">
        <v>912</v>
      </c>
      <c r="E380" s="40"/>
      <c r="F380" s="60">
        <v>45123</v>
      </c>
      <c r="G380" s="59" t="s">
        <v>29</v>
      </c>
      <c r="H380" s="28">
        <f t="shared" si="15"/>
        <v>2023</v>
      </c>
      <c r="I380" s="80"/>
    </row>
    <row r="381" spans="1:9" hidden="1">
      <c r="A381" s="43">
        <v>8471</v>
      </c>
      <c r="B381" s="36" t="s">
        <v>153</v>
      </c>
      <c r="C381" s="34" t="s">
        <v>253</v>
      </c>
      <c r="D381" s="34">
        <v>2736</v>
      </c>
      <c r="E381" s="40"/>
      <c r="F381" s="60">
        <v>45123</v>
      </c>
      <c r="G381" s="59" t="s">
        <v>29</v>
      </c>
      <c r="H381" s="28">
        <f t="shared" si="15"/>
        <v>2023</v>
      </c>
      <c r="I381" s="80"/>
    </row>
    <row r="382" spans="1:9" hidden="1">
      <c r="A382" s="43">
        <v>8472</v>
      </c>
      <c r="B382" s="36" t="s">
        <v>154</v>
      </c>
      <c r="C382" s="34" t="s">
        <v>253</v>
      </c>
      <c r="D382" s="34">
        <v>1368</v>
      </c>
      <c r="E382" s="40"/>
      <c r="F382" s="60">
        <v>45123</v>
      </c>
      <c r="G382" s="59" t="s">
        <v>29</v>
      </c>
      <c r="H382" s="28">
        <f t="shared" si="15"/>
        <v>2023</v>
      </c>
      <c r="I382" s="80"/>
    </row>
    <row r="383" spans="1:9" hidden="1">
      <c r="A383" s="43">
        <v>8473</v>
      </c>
      <c r="B383" s="36" t="s">
        <v>157</v>
      </c>
      <c r="C383" s="34" t="s">
        <v>267</v>
      </c>
      <c r="D383" s="34">
        <v>1368</v>
      </c>
      <c r="E383" s="40"/>
      <c r="F383" s="60">
        <v>45123</v>
      </c>
      <c r="G383" s="59" t="s">
        <v>29</v>
      </c>
      <c r="H383" s="28">
        <f t="shared" si="15"/>
        <v>2023</v>
      </c>
      <c r="I383" s="80"/>
    </row>
    <row r="384" spans="1:9" hidden="1">
      <c r="A384" s="43">
        <v>8474</v>
      </c>
      <c r="B384" s="36" t="s">
        <v>158</v>
      </c>
      <c r="C384" s="34" t="s">
        <v>267</v>
      </c>
      <c r="D384" s="34">
        <v>1140</v>
      </c>
      <c r="E384" s="40"/>
      <c r="F384" s="60">
        <v>45123</v>
      </c>
      <c r="G384" s="59" t="s">
        <v>29</v>
      </c>
      <c r="H384" s="28">
        <f t="shared" si="15"/>
        <v>2023</v>
      </c>
      <c r="I384" s="80"/>
    </row>
    <row r="385" spans="1:9" hidden="1">
      <c r="A385" s="43">
        <v>8475</v>
      </c>
      <c r="B385" s="36" t="s">
        <v>167</v>
      </c>
      <c r="C385" s="34" t="s">
        <v>267</v>
      </c>
      <c r="D385" s="34">
        <v>1368</v>
      </c>
      <c r="E385" s="40"/>
      <c r="F385" s="60">
        <v>45123</v>
      </c>
      <c r="G385" s="59" t="s">
        <v>29</v>
      </c>
      <c r="H385" s="28">
        <f t="shared" si="15"/>
        <v>2023</v>
      </c>
      <c r="I385" s="80"/>
    </row>
    <row r="386" spans="1:9" hidden="1">
      <c r="A386" s="43">
        <v>8476</v>
      </c>
      <c r="B386" s="36" t="s">
        <v>177</v>
      </c>
      <c r="C386" s="34" t="s">
        <v>267</v>
      </c>
      <c r="D386" s="34">
        <v>1140</v>
      </c>
      <c r="E386" s="40"/>
      <c r="F386" s="60">
        <v>45123</v>
      </c>
      <c r="G386" s="59" t="s">
        <v>29</v>
      </c>
      <c r="H386" s="28">
        <f t="shared" si="15"/>
        <v>2023</v>
      </c>
      <c r="I386" s="80"/>
    </row>
    <row r="387" spans="1:9" hidden="1">
      <c r="A387" s="43">
        <v>8477</v>
      </c>
      <c r="B387" s="36" t="s">
        <v>202</v>
      </c>
      <c r="C387" s="34" t="s">
        <v>341</v>
      </c>
      <c r="D387" s="34">
        <v>912</v>
      </c>
      <c r="E387" s="40"/>
      <c r="F387" s="60">
        <v>45123</v>
      </c>
      <c r="G387" s="59" t="s">
        <v>29</v>
      </c>
      <c r="H387" s="28">
        <f t="shared" si="15"/>
        <v>2023</v>
      </c>
      <c r="I387" s="80"/>
    </row>
    <row r="388" spans="1:9" hidden="1">
      <c r="A388" s="43">
        <v>8478</v>
      </c>
      <c r="B388" s="36" t="s">
        <v>312</v>
      </c>
      <c r="C388" s="34" t="s">
        <v>341</v>
      </c>
      <c r="D388" s="34">
        <v>912</v>
      </c>
      <c r="E388" s="40"/>
      <c r="F388" s="60">
        <v>45123</v>
      </c>
      <c r="G388" s="59" t="s">
        <v>29</v>
      </c>
      <c r="H388" s="28">
        <f t="shared" si="15"/>
        <v>2023</v>
      </c>
      <c r="I388" s="80"/>
    </row>
    <row r="389" spans="1:9" hidden="1">
      <c r="A389" s="43">
        <v>8479</v>
      </c>
      <c r="B389" s="36" t="s">
        <v>351</v>
      </c>
      <c r="C389" s="34" t="s">
        <v>341</v>
      </c>
      <c r="D389" s="34">
        <v>1368</v>
      </c>
      <c r="E389" s="40"/>
      <c r="F389" s="60">
        <v>45123</v>
      </c>
      <c r="G389" s="59" t="s">
        <v>29</v>
      </c>
      <c r="H389" s="28">
        <f t="shared" si="15"/>
        <v>2023</v>
      </c>
      <c r="I389" s="80"/>
    </row>
    <row r="390" spans="1:9" hidden="1">
      <c r="A390" s="43">
        <v>8480</v>
      </c>
      <c r="B390" s="36" t="s">
        <v>351</v>
      </c>
      <c r="C390" s="34" t="s">
        <v>352</v>
      </c>
      <c r="D390" s="34">
        <v>1368</v>
      </c>
      <c r="E390" s="40"/>
      <c r="F390" s="60">
        <v>45123</v>
      </c>
      <c r="G390" s="59" t="s">
        <v>29</v>
      </c>
      <c r="H390" s="28">
        <f t="shared" si="15"/>
        <v>2023</v>
      </c>
      <c r="I390" s="80"/>
    </row>
    <row r="391" spans="1:9" hidden="1">
      <c r="A391" s="43">
        <v>8481</v>
      </c>
      <c r="B391" s="36" t="s">
        <v>133</v>
      </c>
      <c r="C391" s="34" t="s">
        <v>248</v>
      </c>
      <c r="D391" s="40">
        <v>4668</v>
      </c>
      <c r="E391" s="40"/>
      <c r="F391" s="60">
        <v>45177</v>
      </c>
      <c r="G391" s="59" t="s">
        <v>29</v>
      </c>
      <c r="H391" s="28">
        <f t="shared" si="15"/>
        <v>2023</v>
      </c>
      <c r="I391" s="80"/>
    </row>
    <row r="392" spans="1:9" hidden="1">
      <c r="A392" s="43">
        <v>8482</v>
      </c>
      <c r="B392" s="36" t="s">
        <v>139</v>
      </c>
      <c r="C392" s="34" t="s">
        <v>248</v>
      </c>
      <c r="D392" s="40">
        <v>6224</v>
      </c>
      <c r="E392" s="40"/>
      <c r="F392" s="60">
        <v>45177</v>
      </c>
      <c r="G392" s="59" t="s">
        <v>29</v>
      </c>
      <c r="H392" s="28">
        <f t="shared" si="15"/>
        <v>2023</v>
      </c>
      <c r="I392" s="80"/>
    </row>
    <row r="393" spans="1:9" hidden="1">
      <c r="A393" s="43">
        <v>8483</v>
      </c>
      <c r="B393" s="36" t="s">
        <v>353</v>
      </c>
      <c r="C393" s="34" t="s">
        <v>248</v>
      </c>
      <c r="D393" s="40">
        <v>17116</v>
      </c>
      <c r="E393" s="40"/>
      <c r="F393" s="60">
        <v>45177</v>
      </c>
      <c r="G393" s="59" t="s">
        <v>29</v>
      </c>
      <c r="H393" s="28">
        <f t="shared" si="15"/>
        <v>2023</v>
      </c>
      <c r="I393" s="80"/>
    </row>
    <row r="394" spans="1:9" hidden="1">
      <c r="A394" s="43">
        <v>8484</v>
      </c>
      <c r="B394" s="36" t="s">
        <v>132</v>
      </c>
      <c r="C394" s="34" t="s">
        <v>248</v>
      </c>
      <c r="D394" s="40">
        <v>6224</v>
      </c>
      <c r="E394" s="40"/>
      <c r="F394" s="60">
        <v>45177</v>
      </c>
      <c r="G394" s="59" t="s">
        <v>29</v>
      </c>
      <c r="H394" s="28">
        <f t="shared" si="15"/>
        <v>2023</v>
      </c>
      <c r="I394" s="80"/>
    </row>
    <row r="395" spans="1:9" hidden="1">
      <c r="A395" s="43">
        <v>8487</v>
      </c>
      <c r="B395" s="36" t="s">
        <v>354</v>
      </c>
      <c r="C395" s="34" t="s">
        <v>253</v>
      </c>
      <c r="D395" s="40">
        <v>912</v>
      </c>
      <c r="E395" s="40"/>
      <c r="F395" s="60">
        <v>45177</v>
      </c>
      <c r="G395" s="59" t="s">
        <v>29</v>
      </c>
      <c r="H395" s="28">
        <f t="shared" ref="H395:H400" si="16">YEAR(F395)</f>
        <v>2023</v>
      </c>
      <c r="I395" s="80"/>
    </row>
    <row r="396" spans="1:9" hidden="1">
      <c r="A396" s="43">
        <v>8488</v>
      </c>
      <c r="B396" s="49" t="s">
        <v>354</v>
      </c>
      <c r="C396" s="35" t="s">
        <v>267</v>
      </c>
      <c r="D396" s="41">
        <v>912</v>
      </c>
      <c r="E396" s="41"/>
      <c r="F396" s="60">
        <v>45177</v>
      </c>
      <c r="G396" s="59" t="s">
        <v>29</v>
      </c>
      <c r="H396" s="28">
        <f t="shared" si="16"/>
        <v>2023</v>
      </c>
      <c r="I396" s="80"/>
    </row>
    <row r="397" spans="1:9" hidden="1">
      <c r="A397" s="43">
        <v>8489</v>
      </c>
      <c r="B397" s="36" t="s">
        <v>355</v>
      </c>
      <c r="C397" s="34" t="s">
        <v>267</v>
      </c>
      <c r="D397" s="40">
        <v>912</v>
      </c>
      <c r="E397" s="40">
        <v>4</v>
      </c>
      <c r="F397" s="60">
        <v>45342</v>
      </c>
      <c r="G397" s="59" t="s">
        <v>29</v>
      </c>
      <c r="H397" s="28">
        <f t="shared" si="16"/>
        <v>2024</v>
      </c>
      <c r="I397" s="80"/>
    </row>
    <row r="398" spans="1:9" hidden="1">
      <c r="A398" s="43">
        <v>8490</v>
      </c>
      <c r="B398" s="36" t="s">
        <v>195</v>
      </c>
      <c r="C398" s="34" t="s">
        <v>248</v>
      </c>
      <c r="D398" s="40">
        <v>3890</v>
      </c>
      <c r="E398" s="40">
        <v>5</v>
      </c>
      <c r="F398" s="60">
        <v>45342</v>
      </c>
      <c r="G398" s="59" t="s">
        <v>29</v>
      </c>
      <c r="H398" s="28">
        <f t="shared" si="16"/>
        <v>2024</v>
      </c>
      <c r="I398" s="80"/>
    </row>
    <row r="399" spans="1:9" hidden="1">
      <c r="A399" s="43">
        <v>8491</v>
      </c>
      <c r="B399" s="36" t="s">
        <v>209</v>
      </c>
      <c r="C399" s="34" t="s">
        <v>352</v>
      </c>
      <c r="D399" s="40">
        <v>3648</v>
      </c>
      <c r="E399" s="40">
        <v>16</v>
      </c>
      <c r="F399" s="60">
        <v>45342</v>
      </c>
      <c r="G399" s="59" t="s">
        <v>29</v>
      </c>
      <c r="H399" s="28">
        <f t="shared" si="16"/>
        <v>2024</v>
      </c>
      <c r="I399" s="80"/>
    </row>
    <row r="400" spans="1:9">
      <c r="A400" s="43">
        <v>8492</v>
      </c>
      <c r="B400" s="36" t="s">
        <v>213</v>
      </c>
      <c r="C400" s="34" t="s">
        <v>341</v>
      </c>
      <c r="D400" s="34">
        <v>1368</v>
      </c>
      <c r="E400" s="40">
        <v>6</v>
      </c>
      <c r="F400" s="60"/>
      <c r="G400" s="30" t="s">
        <v>356</v>
      </c>
      <c r="H400" s="188" t="s">
        <v>357</v>
      </c>
      <c r="I400" s="28"/>
    </row>
    <row r="401" spans="1:9" hidden="1">
      <c r="A401" s="43">
        <v>8494</v>
      </c>
      <c r="B401" s="36" t="s">
        <v>330</v>
      </c>
      <c r="C401" s="34" t="s">
        <v>294</v>
      </c>
      <c r="D401" s="40">
        <v>5016</v>
      </c>
      <c r="E401" s="40">
        <v>22</v>
      </c>
      <c r="F401" s="60">
        <v>45342</v>
      </c>
      <c r="G401" s="59" t="s">
        <v>29</v>
      </c>
      <c r="H401" s="28">
        <f t="shared" ref="H401:H413" si="17">YEAR(F401)</f>
        <v>2024</v>
      </c>
      <c r="I401" s="80"/>
    </row>
    <row r="402" spans="1:9" hidden="1">
      <c r="A402" s="43">
        <v>8495</v>
      </c>
      <c r="B402" s="49" t="s">
        <v>304</v>
      </c>
      <c r="C402" s="35" t="s">
        <v>352</v>
      </c>
      <c r="D402" s="41">
        <v>1824</v>
      </c>
      <c r="E402" s="41">
        <v>8</v>
      </c>
      <c r="F402" s="60">
        <v>45342</v>
      </c>
      <c r="G402" s="59" t="s">
        <v>29</v>
      </c>
      <c r="H402" s="28">
        <f t="shared" si="17"/>
        <v>2024</v>
      </c>
      <c r="I402" s="80"/>
    </row>
    <row r="403" spans="1:9" hidden="1">
      <c r="A403" s="43">
        <v>8496</v>
      </c>
      <c r="B403" s="36" t="s">
        <v>134</v>
      </c>
      <c r="C403" s="34" t="s">
        <v>248</v>
      </c>
      <c r="D403" s="40">
        <v>3112</v>
      </c>
      <c r="E403" s="40">
        <v>4</v>
      </c>
      <c r="F403" s="60">
        <v>45288</v>
      </c>
      <c r="G403" s="59" t="s">
        <v>29</v>
      </c>
      <c r="H403" s="28">
        <f t="shared" si="17"/>
        <v>2023</v>
      </c>
      <c r="I403" s="80"/>
    </row>
    <row r="404" spans="1:9" hidden="1">
      <c r="A404" s="43">
        <v>8497</v>
      </c>
      <c r="B404" s="36" t="s">
        <v>136</v>
      </c>
      <c r="C404" s="34" t="s">
        <v>248</v>
      </c>
      <c r="D404" s="40">
        <v>3890</v>
      </c>
      <c r="E404" s="40">
        <v>5</v>
      </c>
      <c r="F404" s="60">
        <v>45288</v>
      </c>
      <c r="G404" s="59" t="s">
        <v>29</v>
      </c>
      <c r="H404" s="28">
        <f t="shared" si="17"/>
        <v>2023</v>
      </c>
      <c r="I404" s="80"/>
    </row>
    <row r="405" spans="1:9" hidden="1">
      <c r="A405" s="43">
        <v>8498</v>
      </c>
      <c r="B405" s="36" t="s">
        <v>138</v>
      </c>
      <c r="C405" s="34" t="s">
        <v>248</v>
      </c>
      <c r="D405" s="40">
        <v>6224</v>
      </c>
      <c r="E405" s="40">
        <v>8</v>
      </c>
      <c r="F405" s="60">
        <v>45288</v>
      </c>
      <c r="G405" s="59" t="s">
        <v>29</v>
      </c>
      <c r="H405" s="28">
        <f t="shared" si="17"/>
        <v>2023</v>
      </c>
      <c r="I405" s="80"/>
    </row>
    <row r="406" spans="1:9" hidden="1">
      <c r="A406" s="43">
        <v>8499</v>
      </c>
      <c r="B406" s="36" t="s">
        <v>145</v>
      </c>
      <c r="C406" s="34" t="s">
        <v>253</v>
      </c>
      <c r="D406" s="40">
        <v>684</v>
      </c>
      <c r="E406" s="40">
        <v>3</v>
      </c>
      <c r="F406" s="60">
        <v>45288</v>
      </c>
      <c r="G406" s="59" t="s">
        <v>29</v>
      </c>
      <c r="H406" s="28">
        <f t="shared" si="17"/>
        <v>2023</v>
      </c>
      <c r="I406" s="80"/>
    </row>
    <row r="407" spans="1:9" hidden="1">
      <c r="A407" s="43">
        <v>8500</v>
      </c>
      <c r="B407" s="36" t="s">
        <v>146</v>
      </c>
      <c r="C407" s="34" t="s">
        <v>253</v>
      </c>
      <c r="D407" s="40">
        <v>2280</v>
      </c>
      <c r="E407" s="40">
        <v>10</v>
      </c>
      <c r="F407" s="60">
        <v>45288</v>
      </c>
      <c r="G407" s="59" t="s">
        <v>29</v>
      </c>
      <c r="H407" s="28">
        <f t="shared" si="17"/>
        <v>2023</v>
      </c>
      <c r="I407" s="80"/>
    </row>
    <row r="408" spans="1:9" hidden="1">
      <c r="A408" s="43">
        <v>8501</v>
      </c>
      <c r="B408" s="36" t="s">
        <v>147</v>
      </c>
      <c r="C408" s="34" t="s">
        <v>253</v>
      </c>
      <c r="D408" s="40">
        <v>912</v>
      </c>
      <c r="E408" s="40">
        <v>4</v>
      </c>
      <c r="F408" s="60">
        <v>45288</v>
      </c>
      <c r="G408" s="59" t="s">
        <v>29</v>
      </c>
      <c r="H408" s="28">
        <f t="shared" si="17"/>
        <v>2023</v>
      </c>
      <c r="I408" s="80"/>
    </row>
    <row r="409" spans="1:9" hidden="1">
      <c r="A409" s="43">
        <v>8502</v>
      </c>
      <c r="B409" s="36" t="s">
        <v>148</v>
      </c>
      <c r="C409" s="34" t="s">
        <v>253</v>
      </c>
      <c r="D409" s="40">
        <v>684</v>
      </c>
      <c r="E409" s="40">
        <v>3</v>
      </c>
      <c r="F409" s="60">
        <v>45398</v>
      </c>
      <c r="G409" s="59" t="s">
        <v>29</v>
      </c>
      <c r="H409" s="28">
        <f t="shared" si="17"/>
        <v>2024</v>
      </c>
      <c r="I409" s="80"/>
    </row>
    <row r="410" spans="1:9" hidden="1">
      <c r="A410" s="43">
        <v>8503</v>
      </c>
      <c r="B410" s="36" t="s">
        <v>156</v>
      </c>
      <c r="C410" s="34" t="s">
        <v>253</v>
      </c>
      <c r="D410" s="40">
        <v>3420</v>
      </c>
      <c r="E410" s="40">
        <v>15</v>
      </c>
      <c r="F410" s="60">
        <v>45342</v>
      </c>
      <c r="G410" s="59" t="s">
        <v>29</v>
      </c>
      <c r="H410" s="28">
        <f t="shared" si="17"/>
        <v>2024</v>
      </c>
      <c r="I410" s="80"/>
    </row>
    <row r="411" spans="1:9" hidden="1">
      <c r="A411" s="43">
        <v>8504</v>
      </c>
      <c r="B411" s="36" t="s">
        <v>156</v>
      </c>
      <c r="C411" s="34" t="s">
        <v>267</v>
      </c>
      <c r="D411" s="40">
        <v>3420</v>
      </c>
      <c r="E411" s="40">
        <v>15</v>
      </c>
      <c r="F411" s="60">
        <v>45342</v>
      </c>
      <c r="G411" s="59" t="s">
        <v>29</v>
      </c>
      <c r="H411" s="28">
        <f t="shared" si="17"/>
        <v>2024</v>
      </c>
      <c r="I411" s="80"/>
    </row>
    <row r="412" spans="1:9" hidden="1">
      <c r="A412" s="43">
        <v>8505</v>
      </c>
      <c r="B412" s="36" t="s">
        <v>149</v>
      </c>
      <c r="C412" s="34" t="s">
        <v>253</v>
      </c>
      <c r="D412" s="40">
        <v>4560</v>
      </c>
      <c r="E412" s="40">
        <v>20</v>
      </c>
      <c r="F412" s="60">
        <v>45342</v>
      </c>
      <c r="G412" s="59" t="s">
        <v>29</v>
      </c>
      <c r="H412" s="28">
        <f t="shared" si="17"/>
        <v>2024</v>
      </c>
      <c r="I412" s="80"/>
    </row>
    <row r="413" spans="1:9" hidden="1">
      <c r="A413" s="43">
        <v>8506</v>
      </c>
      <c r="B413" s="36" t="s">
        <v>159</v>
      </c>
      <c r="C413" s="34" t="s">
        <v>267</v>
      </c>
      <c r="D413" s="40">
        <v>4104</v>
      </c>
      <c r="E413" s="40">
        <v>18</v>
      </c>
      <c r="F413" s="60">
        <v>45342</v>
      </c>
      <c r="G413" s="59" t="s">
        <v>29</v>
      </c>
      <c r="H413" s="28">
        <f t="shared" si="17"/>
        <v>2024</v>
      </c>
      <c r="I413" s="80"/>
    </row>
    <row r="414" spans="1:9">
      <c r="A414" s="43">
        <v>8507</v>
      </c>
      <c r="B414" s="36" t="s">
        <v>161</v>
      </c>
      <c r="C414" s="34" t="s">
        <v>267</v>
      </c>
      <c r="D414" s="40">
        <v>684</v>
      </c>
      <c r="E414" s="40">
        <v>3</v>
      </c>
      <c r="F414" s="60"/>
      <c r="G414" s="59" t="s">
        <v>356</v>
      </c>
      <c r="H414" s="45" t="s">
        <v>358</v>
      </c>
      <c r="I414" s="28"/>
    </row>
    <row r="415" spans="1:9" hidden="1">
      <c r="A415" s="43">
        <v>8508</v>
      </c>
      <c r="B415" s="36" t="s">
        <v>169</v>
      </c>
      <c r="C415" s="34" t="s">
        <v>267</v>
      </c>
      <c r="D415" s="40">
        <v>1824</v>
      </c>
      <c r="E415" s="40">
        <v>8</v>
      </c>
      <c r="F415" s="60">
        <v>45342</v>
      </c>
      <c r="G415" s="59" t="s">
        <v>29</v>
      </c>
      <c r="H415" s="28">
        <f t="shared" ref="H415:H473" si="18">YEAR(F415)</f>
        <v>2024</v>
      </c>
      <c r="I415" s="80"/>
    </row>
    <row r="416" spans="1:9" hidden="1">
      <c r="A416" s="43">
        <v>8509</v>
      </c>
      <c r="B416" s="36" t="s">
        <v>339</v>
      </c>
      <c r="C416" s="34" t="s">
        <v>267</v>
      </c>
      <c r="D416" s="40">
        <v>2280</v>
      </c>
      <c r="E416" s="40">
        <v>10</v>
      </c>
      <c r="F416" s="60">
        <v>45342</v>
      </c>
      <c r="G416" s="59" t="s">
        <v>29</v>
      </c>
      <c r="H416" s="28">
        <f t="shared" si="18"/>
        <v>2024</v>
      </c>
      <c r="I416" s="80"/>
    </row>
    <row r="417" spans="1:9" hidden="1">
      <c r="A417" s="43">
        <v>8510</v>
      </c>
      <c r="B417" s="36" t="s">
        <v>175</v>
      </c>
      <c r="C417" s="34" t="s">
        <v>267</v>
      </c>
      <c r="D417" s="40">
        <v>2280</v>
      </c>
      <c r="E417" s="40">
        <v>10</v>
      </c>
      <c r="F417" s="60">
        <v>45379</v>
      </c>
      <c r="G417" s="59" t="s">
        <v>29</v>
      </c>
      <c r="H417" s="28">
        <f t="shared" si="18"/>
        <v>2024</v>
      </c>
      <c r="I417" s="80"/>
    </row>
    <row r="418" spans="1:9" hidden="1">
      <c r="A418" s="43">
        <v>8511</v>
      </c>
      <c r="B418" s="36" t="s">
        <v>185</v>
      </c>
      <c r="C418" s="34" t="s">
        <v>294</v>
      </c>
      <c r="D418" s="40">
        <v>1596</v>
      </c>
      <c r="E418" s="40">
        <v>7</v>
      </c>
      <c r="F418" s="60">
        <v>45379</v>
      </c>
      <c r="G418" s="59" t="s">
        <v>29</v>
      </c>
      <c r="H418" s="28">
        <f t="shared" si="18"/>
        <v>2024</v>
      </c>
      <c r="I418" s="80"/>
    </row>
    <row r="419" spans="1:9" hidden="1">
      <c r="A419" s="43">
        <v>8512</v>
      </c>
      <c r="B419" s="36" t="s">
        <v>188</v>
      </c>
      <c r="C419" s="34" t="s">
        <v>294</v>
      </c>
      <c r="D419" s="40">
        <v>1140</v>
      </c>
      <c r="E419" s="40">
        <v>5</v>
      </c>
      <c r="F419" s="60">
        <v>45379</v>
      </c>
      <c r="G419" s="59" t="s">
        <v>29</v>
      </c>
      <c r="H419" s="28">
        <f t="shared" si="18"/>
        <v>2024</v>
      </c>
      <c r="I419" s="80"/>
    </row>
    <row r="420" spans="1:9" hidden="1">
      <c r="A420" s="43">
        <v>8513</v>
      </c>
      <c r="B420" s="36" t="s">
        <v>190</v>
      </c>
      <c r="C420" s="34" t="s">
        <v>294</v>
      </c>
      <c r="D420" s="40">
        <v>912</v>
      </c>
      <c r="E420" s="40">
        <v>4</v>
      </c>
      <c r="F420" s="60">
        <v>45379</v>
      </c>
      <c r="G420" s="59" t="s">
        <v>29</v>
      </c>
      <c r="H420" s="28">
        <f t="shared" si="18"/>
        <v>2024</v>
      </c>
      <c r="I420" s="80"/>
    </row>
    <row r="421" spans="1:9" hidden="1">
      <c r="A421" s="43">
        <v>8514</v>
      </c>
      <c r="B421" s="36" t="s">
        <v>266</v>
      </c>
      <c r="C421" s="34" t="s">
        <v>294</v>
      </c>
      <c r="D421" s="40">
        <v>1824</v>
      </c>
      <c r="E421" s="40">
        <v>8</v>
      </c>
      <c r="F421" s="60">
        <v>45379</v>
      </c>
      <c r="G421" s="59" t="s">
        <v>29</v>
      </c>
      <c r="H421" s="28">
        <f t="shared" si="18"/>
        <v>2024</v>
      </c>
      <c r="I421" s="80"/>
    </row>
    <row r="422" spans="1:9" hidden="1">
      <c r="A422" s="43">
        <v>8515</v>
      </c>
      <c r="B422" s="49" t="s">
        <v>197</v>
      </c>
      <c r="C422" s="34" t="s">
        <v>293</v>
      </c>
      <c r="D422" s="40">
        <v>2508</v>
      </c>
      <c r="E422" s="40">
        <v>11</v>
      </c>
      <c r="F422" s="60">
        <v>45379</v>
      </c>
      <c r="G422" s="59" t="s">
        <v>29</v>
      </c>
      <c r="H422" s="28">
        <f t="shared" si="18"/>
        <v>2024</v>
      </c>
      <c r="I422" s="80"/>
    </row>
    <row r="423" spans="1:9" hidden="1">
      <c r="A423" s="43">
        <v>8516</v>
      </c>
      <c r="B423" s="36" t="s">
        <v>198</v>
      </c>
      <c r="C423" s="36" t="s">
        <v>293</v>
      </c>
      <c r="D423" s="40">
        <v>912</v>
      </c>
      <c r="E423" s="40">
        <v>4</v>
      </c>
      <c r="F423" s="60">
        <v>45379</v>
      </c>
      <c r="G423" s="59" t="s">
        <v>29</v>
      </c>
      <c r="H423" s="28">
        <f t="shared" si="18"/>
        <v>2024</v>
      </c>
      <c r="I423" s="80"/>
    </row>
    <row r="424" spans="1:9" hidden="1">
      <c r="A424" s="43">
        <v>8517</v>
      </c>
      <c r="B424" s="51" t="s">
        <v>206</v>
      </c>
      <c r="C424" s="34" t="s">
        <v>341</v>
      </c>
      <c r="D424" s="40">
        <v>912</v>
      </c>
      <c r="E424" s="40">
        <v>4</v>
      </c>
      <c r="F424" s="60">
        <v>45379</v>
      </c>
      <c r="G424" s="59" t="s">
        <v>29</v>
      </c>
      <c r="H424" s="28">
        <f t="shared" si="18"/>
        <v>2024</v>
      </c>
      <c r="I424" s="80"/>
    </row>
    <row r="425" spans="1:9" hidden="1">
      <c r="A425" s="43">
        <v>8518</v>
      </c>
      <c r="B425" s="36" t="s">
        <v>217</v>
      </c>
      <c r="C425" s="34" t="s">
        <v>352</v>
      </c>
      <c r="D425" s="40">
        <v>912</v>
      </c>
      <c r="E425" s="40">
        <v>4</v>
      </c>
      <c r="F425" s="60">
        <v>45379</v>
      </c>
      <c r="G425" s="59" t="s">
        <v>29</v>
      </c>
      <c r="H425" s="28">
        <f t="shared" si="18"/>
        <v>2024</v>
      </c>
      <c r="I425" s="80"/>
    </row>
    <row r="426" spans="1:9" hidden="1">
      <c r="A426" s="43">
        <v>8519</v>
      </c>
      <c r="B426" s="36" t="s">
        <v>359</v>
      </c>
      <c r="C426" s="35" t="s">
        <v>248</v>
      </c>
      <c r="D426" s="41">
        <v>6224</v>
      </c>
      <c r="E426" s="41">
        <v>8</v>
      </c>
      <c r="F426" s="60">
        <v>45379</v>
      </c>
      <c r="G426" s="59" t="s">
        <v>29</v>
      </c>
      <c r="H426" s="28">
        <f t="shared" si="18"/>
        <v>2024</v>
      </c>
      <c r="I426" s="80"/>
    </row>
    <row r="427" spans="1:9" hidden="1">
      <c r="A427" s="43">
        <v>8520</v>
      </c>
      <c r="B427" s="52" t="s">
        <v>131</v>
      </c>
      <c r="C427" s="34" t="s">
        <v>248</v>
      </c>
      <c r="D427" s="34">
        <v>4668</v>
      </c>
      <c r="E427" s="40">
        <v>6</v>
      </c>
      <c r="F427" s="60">
        <v>45379</v>
      </c>
      <c r="G427" s="59" t="s">
        <v>29</v>
      </c>
      <c r="H427" s="28">
        <f t="shared" si="18"/>
        <v>2024</v>
      </c>
      <c r="I427" s="80"/>
    </row>
    <row r="428" spans="1:9" hidden="1">
      <c r="A428" s="43">
        <v>8521</v>
      </c>
      <c r="B428" s="52" t="s">
        <v>349</v>
      </c>
      <c r="C428" s="34" t="s">
        <v>253</v>
      </c>
      <c r="D428" s="34">
        <v>912</v>
      </c>
      <c r="E428" s="40">
        <v>4</v>
      </c>
      <c r="F428" s="60">
        <v>45398</v>
      </c>
      <c r="G428" s="59" t="s">
        <v>29</v>
      </c>
      <c r="H428" s="28">
        <f t="shared" si="18"/>
        <v>2024</v>
      </c>
      <c r="I428" s="80"/>
    </row>
    <row r="429" spans="1:9" hidden="1">
      <c r="A429" s="43">
        <v>8522</v>
      </c>
      <c r="B429" s="52" t="s">
        <v>150</v>
      </c>
      <c r="C429" s="34" t="s">
        <v>267</v>
      </c>
      <c r="D429" s="34">
        <v>2280</v>
      </c>
      <c r="E429" s="40">
        <v>10</v>
      </c>
      <c r="F429" s="60">
        <v>45398</v>
      </c>
      <c r="G429" s="59" t="s">
        <v>29</v>
      </c>
      <c r="H429" s="28">
        <f t="shared" si="18"/>
        <v>2024</v>
      </c>
      <c r="I429" s="80"/>
    </row>
    <row r="430" spans="1:9" hidden="1">
      <c r="A430" s="43">
        <v>8523</v>
      </c>
      <c r="B430" s="52" t="s">
        <v>164</v>
      </c>
      <c r="C430" s="34" t="s">
        <v>294</v>
      </c>
      <c r="D430" s="34">
        <v>912</v>
      </c>
      <c r="E430" s="40">
        <v>4</v>
      </c>
      <c r="F430" s="60">
        <v>45398</v>
      </c>
      <c r="G430" s="59" t="s">
        <v>29</v>
      </c>
      <c r="H430" s="28">
        <f t="shared" si="18"/>
        <v>2024</v>
      </c>
      <c r="I430" s="80"/>
    </row>
    <row r="431" spans="1:9" hidden="1">
      <c r="A431" s="43">
        <v>8525</v>
      </c>
      <c r="B431" s="52" t="s">
        <v>171</v>
      </c>
      <c r="C431" s="34" t="s">
        <v>294</v>
      </c>
      <c r="D431" s="34">
        <v>1596</v>
      </c>
      <c r="E431" s="40">
        <v>7</v>
      </c>
      <c r="F431" s="60">
        <v>45398</v>
      </c>
      <c r="G431" s="59" t="s">
        <v>29</v>
      </c>
      <c r="H431" s="28">
        <f t="shared" si="18"/>
        <v>2024</v>
      </c>
      <c r="I431" s="80"/>
    </row>
    <row r="432" spans="1:9" hidden="1">
      <c r="A432" s="43">
        <v>8524</v>
      </c>
      <c r="B432" s="52" t="s">
        <v>172</v>
      </c>
      <c r="C432" s="34" t="s">
        <v>294</v>
      </c>
      <c r="D432" s="34">
        <v>684</v>
      </c>
      <c r="E432" s="40">
        <v>3</v>
      </c>
      <c r="F432" s="60">
        <v>45398</v>
      </c>
      <c r="G432" s="59" t="s">
        <v>29</v>
      </c>
      <c r="H432" s="28">
        <f t="shared" si="18"/>
        <v>2024</v>
      </c>
      <c r="I432" s="80"/>
    </row>
    <row r="433" spans="1:9" hidden="1">
      <c r="A433" s="43">
        <v>8526</v>
      </c>
      <c r="B433" s="52" t="s">
        <v>181</v>
      </c>
      <c r="C433" s="34" t="s">
        <v>293</v>
      </c>
      <c r="D433" s="34">
        <v>1824</v>
      </c>
      <c r="E433" s="40">
        <v>8</v>
      </c>
      <c r="F433" s="60">
        <v>45398</v>
      </c>
      <c r="G433" s="59" t="s">
        <v>29</v>
      </c>
      <c r="H433" s="28">
        <f t="shared" si="18"/>
        <v>2024</v>
      </c>
      <c r="I433" s="80"/>
    </row>
    <row r="434" spans="1:9" hidden="1">
      <c r="A434" s="43">
        <v>8527</v>
      </c>
      <c r="B434" s="52" t="s">
        <v>178</v>
      </c>
      <c r="C434" s="34" t="s">
        <v>294</v>
      </c>
      <c r="D434" s="34">
        <v>2736</v>
      </c>
      <c r="E434" s="40">
        <v>12</v>
      </c>
      <c r="F434" s="60">
        <v>45398</v>
      </c>
      <c r="G434" s="59" t="s">
        <v>29</v>
      </c>
      <c r="H434" s="28">
        <f t="shared" si="18"/>
        <v>2024</v>
      </c>
      <c r="I434" s="80"/>
    </row>
    <row r="435" spans="1:9" hidden="1">
      <c r="A435" s="43">
        <v>8528</v>
      </c>
      <c r="B435" s="52" t="s">
        <v>207</v>
      </c>
      <c r="C435" s="34" t="s">
        <v>352</v>
      </c>
      <c r="D435" s="34">
        <v>4560</v>
      </c>
      <c r="E435" s="40">
        <v>20</v>
      </c>
      <c r="F435" s="60">
        <v>45398</v>
      </c>
      <c r="G435" s="59" t="s">
        <v>29</v>
      </c>
      <c r="H435" s="28">
        <f t="shared" si="18"/>
        <v>2024</v>
      </c>
      <c r="I435" s="80"/>
    </row>
    <row r="436" spans="1:9" hidden="1">
      <c r="A436" s="83">
        <v>8529</v>
      </c>
      <c r="B436" s="52" t="s">
        <v>211</v>
      </c>
      <c r="C436" s="34" t="s">
        <v>341</v>
      </c>
      <c r="D436" s="34">
        <v>1824</v>
      </c>
      <c r="E436" s="40">
        <v>8</v>
      </c>
      <c r="F436" s="60">
        <v>45398</v>
      </c>
      <c r="G436" s="38" t="s">
        <v>29</v>
      </c>
      <c r="H436" s="28">
        <f t="shared" si="18"/>
        <v>2024</v>
      </c>
      <c r="I436" s="80"/>
    </row>
    <row r="437" spans="1:9" hidden="1">
      <c r="A437" s="43">
        <v>8530</v>
      </c>
      <c r="B437" s="52" t="s">
        <v>360</v>
      </c>
      <c r="C437" s="34" t="s">
        <v>248</v>
      </c>
      <c r="D437" s="34">
        <v>4668</v>
      </c>
      <c r="E437" s="40">
        <v>6</v>
      </c>
      <c r="F437" s="60">
        <v>45398</v>
      </c>
      <c r="G437" s="59" t="s">
        <v>29</v>
      </c>
      <c r="H437" s="28">
        <f t="shared" si="18"/>
        <v>2024</v>
      </c>
      <c r="I437" s="80"/>
    </row>
    <row r="438" spans="1:9" hidden="1">
      <c r="A438" s="43">
        <v>8531</v>
      </c>
      <c r="B438" s="52" t="s">
        <v>128</v>
      </c>
      <c r="C438" s="34" t="s">
        <v>248</v>
      </c>
      <c r="D438" s="34">
        <v>9336</v>
      </c>
      <c r="E438" s="40">
        <v>12</v>
      </c>
      <c r="F438" s="60">
        <v>45398</v>
      </c>
      <c r="G438" s="59" t="s">
        <v>29</v>
      </c>
      <c r="H438" s="28">
        <f t="shared" si="18"/>
        <v>2024</v>
      </c>
      <c r="I438" s="80"/>
    </row>
    <row r="439" spans="1:9" hidden="1">
      <c r="A439" s="43">
        <v>8532</v>
      </c>
      <c r="B439" s="53" t="s">
        <v>129</v>
      </c>
      <c r="C439" s="35" t="s">
        <v>248</v>
      </c>
      <c r="D439" s="35">
        <v>7780</v>
      </c>
      <c r="E439" s="41">
        <v>10</v>
      </c>
      <c r="F439" s="60">
        <v>45398</v>
      </c>
      <c r="G439" s="59" t="s">
        <v>29</v>
      </c>
      <c r="H439" s="28">
        <f t="shared" si="18"/>
        <v>2024</v>
      </c>
      <c r="I439" s="80"/>
    </row>
    <row r="440" spans="1:9" hidden="1">
      <c r="A440" s="43">
        <v>8533</v>
      </c>
      <c r="B440" s="36" t="s">
        <v>361</v>
      </c>
      <c r="C440" s="34" t="s">
        <v>248</v>
      </c>
      <c r="D440" s="34">
        <v>3890</v>
      </c>
      <c r="E440" s="40">
        <v>5</v>
      </c>
      <c r="F440" s="60">
        <v>45429</v>
      </c>
      <c r="G440" s="59" t="s">
        <v>29</v>
      </c>
      <c r="H440" s="28">
        <f t="shared" si="18"/>
        <v>2024</v>
      </c>
      <c r="I440" s="80"/>
    </row>
    <row r="441" spans="1:9" hidden="1">
      <c r="A441" s="43">
        <v>8534</v>
      </c>
      <c r="B441" s="36" t="s">
        <v>362</v>
      </c>
      <c r="C441" s="34" t="s">
        <v>248</v>
      </c>
      <c r="D441" s="34">
        <v>9336</v>
      </c>
      <c r="E441" s="40">
        <v>12</v>
      </c>
      <c r="F441" s="60">
        <v>45429</v>
      </c>
      <c r="G441" s="59" t="s">
        <v>29</v>
      </c>
      <c r="H441" s="28">
        <f t="shared" si="18"/>
        <v>2024</v>
      </c>
      <c r="I441" s="80"/>
    </row>
    <row r="442" spans="1:9" hidden="1">
      <c r="A442" s="43">
        <v>8535</v>
      </c>
      <c r="B442" s="36" t="s">
        <v>363</v>
      </c>
      <c r="C442" s="34" t="s">
        <v>248</v>
      </c>
      <c r="D442" s="34">
        <v>9336</v>
      </c>
      <c r="E442" s="40">
        <v>12</v>
      </c>
      <c r="F442" s="60">
        <v>45466</v>
      </c>
      <c r="G442" s="59" t="s">
        <v>29</v>
      </c>
      <c r="H442" s="28">
        <f t="shared" si="18"/>
        <v>2024</v>
      </c>
      <c r="I442" s="80"/>
    </row>
    <row r="443" spans="1:9" hidden="1">
      <c r="A443" s="43">
        <v>8536</v>
      </c>
      <c r="B443" s="49" t="s">
        <v>364</v>
      </c>
      <c r="C443" s="35" t="s">
        <v>248</v>
      </c>
      <c r="D443" s="35">
        <v>7780</v>
      </c>
      <c r="E443" s="41">
        <v>10</v>
      </c>
      <c r="F443" s="60">
        <v>45466</v>
      </c>
      <c r="G443" s="59" t="s">
        <v>29</v>
      </c>
      <c r="H443" s="28">
        <f t="shared" si="18"/>
        <v>2024</v>
      </c>
      <c r="I443" s="80"/>
    </row>
    <row r="444" spans="1:9" hidden="1">
      <c r="A444" s="43">
        <v>8537</v>
      </c>
      <c r="B444" s="36" t="s">
        <v>126</v>
      </c>
      <c r="C444" s="34" t="s">
        <v>248</v>
      </c>
      <c r="D444" s="34">
        <v>7780</v>
      </c>
      <c r="E444" s="40">
        <v>10</v>
      </c>
      <c r="F444" s="60">
        <v>45466</v>
      </c>
      <c r="G444" s="59" t="s">
        <v>29</v>
      </c>
      <c r="H444" s="28">
        <f t="shared" si="18"/>
        <v>2024</v>
      </c>
      <c r="I444" s="80"/>
    </row>
    <row r="445" spans="1:9" hidden="1">
      <c r="A445" s="43">
        <v>8538</v>
      </c>
      <c r="B445" s="36" t="s">
        <v>365</v>
      </c>
      <c r="C445" s="34" t="s">
        <v>248</v>
      </c>
      <c r="D445" s="34">
        <v>12448</v>
      </c>
      <c r="E445" s="40">
        <v>16</v>
      </c>
      <c r="F445" s="60">
        <v>45429</v>
      </c>
      <c r="G445" s="48" t="s">
        <v>29</v>
      </c>
      <c r="H445" s="28">
        <f t="shared" si="18"/>
        <v>2024</v>
      </c>
      <c r="I445" s="80"/>
    </row>
    <row r="446" spans="1:9" hidden="1">
      <c r="A446" s="43">
        <v>8539</v>
      </c>
      <c r="B446" s="36" t="s">
        <v>366</v>
      </c>
      <c r="C446" s="34" t="s">
        <v>248</v>
      </c>
      <c r="D446" s="34">
        <v>6224</v>
      </c>
      <c r="E446" s="40">
        <v>8</v>
      </c>
      <c r="F446" s="60">
        <v>45429</v>
      </c>
      <c r="G446" s="48" t="s">
        <v>29</v>
      </c>
      <c r="H446" s="28">
        <f t="shared" si="18"/>
        <v>2024</v>
      </c>
      <c r="I446" s="80"/>
    </row>
    <row r="447" spans="1:9" hidden="1">
      <c r="A447" s="43">
        <v>8540</v>
      </c>
      <c r="B447" s="36" t="s">
        <v>367</v>
      </c>
      <c r="C447" s="34" t="s">
        <v>248</v>
      </c>
      <c r="D447" s="34">
        <v>7780</v>
      </c>
      <c r="E447" s="40">
        <v>10</v>
      </c>
      <c r="F447" s="60">
        <v>45478</v>
      </c>
      <c r="G447" s="48" t="s">
        <v>29</v>
      </c>
      <c r="H447" s="28">
        <f t="shared" si="18"/>
        <v>2024</v>
      </c>
      <c r="I447" s="80"/>
    </row>
    <row r="448" spans="1:9" hidden="1">
      <c r="A448" s="43">
        <v>8541</v>
      </c>
      <c r="B448" s="36" t="s">
        <v>368</v>
      </c>
      <c r="C448" s="34" t="s">
        <v>248</v>
      </c>
      <c r="D448" s="34">
        <v>10114</v>
      </c>
      <c r="E448" s="40">
        <v>13</v>
      </c>
      <c r="F448" s="60">
        <v>45478</v>
      </c>
      <c r="G448" s="48" t="s">
        <v>29</v>
      </c>
      <c r="H448" s="28">
        <f t="shared" si="18"/>
        <v>2024</v>
      </c>
      <c r="I448" s="80"/>
    </row>
    <row r="449" spans="1:9" hidden="1">
      <c r="A449" s="43">
        <v>8542</v>
      </c>
      <c r="B449" s="36" t="s">
        <v>369</v>
      </c>
      <c r="C449" s="34" t="s">
        <v>248</v>
      </c>
      <c r="D449" s="34">
        <v>10892</v>
      </c>
      <c r="E449" s="40">
        <v>14</v>
      </c>
      <c r="F449" s="60">
        <v>45478</v>
      </c>
      <c r="G449" s="48" t="s">
        <v>29</v>
      </c>
      <c r="H449" s="28">
        <f t="shared" si="18"/>
        <v>2024</v>
      </c>
      <c r="I449" s="80"/>
    </row>
    <row r="450" spans="1:9" hidden="1">
      <c r="A450" s="43">
        <v>8543</v>
      </c>
      <c r="B450" s="36" t="s">
        <v>117</v>
      </c>
      <c r="C450" s="34" t="s">
        <v>248</v>
      </c>
      <c r="D450" s="34">
        <v>6224</v>
      </c>
      <c r="E450" s="40">
        <v>8</v>
      </c>
      <c r="F450" s="60">
        <v>45478</v>
      </c>
      <c r="G450" s="48" t="s">
        <v>29</v>
      </c>
      <c r="H450" s="28">
        <f t="shared" si="18"/>
        <v>2024</v>
      </c>
      <c r="I450" s="80"/>
    </row>
    <row r="451" spans="1:9" hidden="1">
      <c r="A451" s="43">
        <v>8544</v>
      </c>
      <c r="B451" s="36" t="s">
        <v>116</v>
      </c>
      <c r="C451" s="34" t="s">
        <v>248</v>
      </c>
      <c r="D451" s="34">
        <v>6224</v>
      </c>
      <c r="E451" s="40">
        <v>8</v>
      </c>
      <c r="F451" s="60">
        <v>45495</v>
      </c>
      <c r="G451" s="48" t="s">
        <v>29</v>
      </c>
      <c r="H451" s="28">
        <f t="shared" si="18"/>
        <v>2024</v>
      </c>
      <c r="I451" s="80"/>
    </row>
    <row r="452" spans="1:9" hidden="1">
      <c r="A452" s="43">
        <v>8545</v>
      </c>
      <c r="B452" s="36" t="s">
        <v>370</v>
      </c>
      <c r="C452" s="34" t="s">
        <v>248</v>
      </c>
      <c r="D452" s="34">
        <v>6224</v>
      </c>
      <c r="E452" s="40">
        <v>8</v>
      </c>
      <c r="F452" s="60">
        <v>45495</v>
      </c>
      <c r="G452" s="48" t="s">
        <v>29</v>
      </c>
      <c r="H452" s="28">
        <f t="shared" si="18"/>
        <v>2024</v>
      </c>
      <c r="I452" s="80"/>
    </row>
    <row r="453" spans="1:9" hidden="1">
      <c r="A453" s="43">
        <v>8546</v>
      </c>
      <c r="B453" s="36" t="s">
        <v>142</v>
      </c>
      <c r="C453" s="34" t="s">
        <v>253</v>
      </c>
      <c r="D453" s="34">
        <v>1368</v>
      </c>
      <c r="E453" s="40">
        <v>6</v>
      </c>
      <c r="F453" s="60">
        <v>45429</v>
      </c>
      <c r="G453" s="48" t="s">
        <v>29</v>
      </c>
      <c r="H453" s="28">
        <f t="shared" si="18"/>
        <v>2024</v>
      </c>
      <c r="I453" s="80"/>
    </row>
    <row r="454" spans="1:9" hidden="1">
      <c r="A454" s="43">
        <v>8547</v>
      </c>
      <c r="B454" s="36" t="s">
        <v>144</v>
      </c>
      <c r="C454" s="34" t="s">
        <v>253</v>
      </c>
      <c r="D454" s="34">
        <v>2280</v>
      </c>
      <c r="E454" s="40">
        <v>10</v>
      </c>
      <c r="F454" s="60">
        <v>45429</v>
      </c>
      <c r="G454" s="48" t="s">
        <v>29</v>
      </c>
      <c r="H454" s="28">
        <f t="shared" si="18"/>
        <v>2024</v>
      </c>
      <c r="I454" s="80"/>
    </row>
    <row r="455" spans="1:9" hidden="1">
      <c r="A455" s="43">
        <v>8548</v>
      </c>
      <c r="B455" s="36" t="s">
        <v>153</v>
      </c>
      <c r="C455" s="34" t="s">
        <v>267</v>
      </c>
      <c r="D455" s="34">
        <v>2736</v>
      </c>
      <c r="E455" s="40">
        <v>12</v>
      </c>
      <c r="F455" s="60">
        <v>45429</v>
      </c>
      <c r="G455" s="48" t="s">
        <v>29</v>
      </c>
      <c r="H455" s="28">
        <f t="shared" si="18"/>
        <v>2024</v>
      </c>
      <c r="I455" s="80"/>
    </row>
    <row r="456" spans="1:9" hidden="1">
      <c r="A456" s="43">
        <v>8549</v>
      </c>
      <c r="B456" s="36" t="s">
        <v>154</v>
      </c>
      <c r="C456" s="34" t="s">
        <v>267</v>
      </c>
      <c r="D456" s="34">
        <v>1368</v>
      </c>
      <c r="E456" s="40">
        <v>6</v>
      </c>
      <c r="F456" s="60">
        <v>45429</v>
      </c>
      <c r="G456" s="48" t="s">
        <v>29</v>
      </c>
      <c r="H456" s="28">
        <f t="shared" si="18"/>
        <v>2024</v>
      </c>
      <c r="I456" s="80"/>
    </row>
    <row r="457" spans="1:9" hidden="1">
      <c r="A457" s="43">
        <v>8550</v>
      </c>
      <c r="B457" s="36" t="s">
        <v>178</v>
      </c>
      <c r="C457" s="34" t="s">
        <v>294</v>
      </c>
      <c r="D457" s="34">
        <v>2736</v>
      </c>
      <c r="E457" s="40">
        <v>6</v>
      </c>
      <c r="F457" s="60">
        <v>45429</v>
      </c>
      <c r="G457" s="48" t="s">
        <v>29</v>
      </c>
      <c r="H457" s="28">
        <f t="shared" si="18"/>
        <v>2024</v>
      </c>
      <c r="I457" s="80"/>
    </row>
    <row r="458" spans="1:9" hidden="1">
      <c r="A458" s="43">
        <v>8551</v>
      </c>
      <c r="B458" s="36" t="s">
        <v>187</v>
      </c>
      <c r="C458" s="34" t="s">
        <v>293</v>
      </c>
      <c r="D458" s="34">
        <v>684</v>
      </c>
      <c r="E458" s="40">
        <v>3</v>
      </c>
      <c r="F458" s="60">
        <v>45429</v>
      </c>
      <c r="G458" s="48" t="s">
        <v>29</v>
      </c>
      <c r="H458" s="28">
        <f t="shared" si="18"/>
        <v>2024</v>
      </c>
      <c r="I458" s="80"/>
    </row>
    <row r="459" spans="1:9" hidden="1">
      <c r="A459" s="43">
        <v>8552</v>
      </c>
      <c r="B459" s="36" t="s">
        <v>202</v>
      </c>
      <c r="C459" s="34" t="s">
        <v>352</v>
      </c>
      <c r="D459" s="34">
        <v>912</v>
      </c>
      <c r="E459" s="40">
        <v>4</v>
      </c>
      <c r="F459" s="60">
        <v>45429</v>
      </c>
      <c r="G459" s="59" t="s">
        <v>29</v>
      </c>
      <c r="H459" s="28">
        <f t="shared" si="18"/>
        <v>2024</v>
      </c>
      <c r="I459" s="80"/>
    </row>
    <row r="460" spans="1:9" hidden="1">
      <c r="A460" s="43">
        <v>8553</v>
      </c>
      <c r="B460" s="36" t="s">
        <v>111</v>
      </c>
      <c r="C460" s="34" t="s">
        <v>248</v>
      </c>
      <c r="D460" s="34">
        <v>6224</v>
      </c>
      <c r="E460" s="40">
        <v>8</v>
      </c>
      <c r="F460" s="60">
        <v>45495</v>
      </c>
      <c r="G460" s="59" t="s">
        <v>29</v>
      </c>
      <c r="H460" s="28">
        <f t="shared" si="18"/>
        <v>2024</v>
      </c>
      <c r="I460" s="80"/>
    </row>
    <row r="461" spans="1:9" hidden="1">
      <c r="A461" s="43">
        <v>8554</v>
      </c>
      <c r="B461" s="36" t="s">
        <v>371</v>
      </c>
      <c r="C461" s="34" t="s">
        <v>253</v>
      </c>
      <c r="D461" s="40">
        <v>4104</v>
      </c>
      <c r="E461" s="40">
        <v>18</v>
      </c>
      <c r="F461" s="60">
        <v>45495</v>
      </c>
      <c r="G461" s="59" t="s">
        <v>29</v>
      </c>
      <c r="H461" s="28">
        <f t="shared" si="18"/>
        <v>2024</v>
      </c>
      <c r="I461" s="80"/>
    </row>
    <row r="462" spans="1:9" hidden="1">
      <c r="A462" s="43">
        <v>8555</v>
      </c>
      <c r="B462" s="36" t="s">
        <v>157</v>
      </c>
      <c r="C462" s="34" t="s">
        <v>293</v>
      </c>
      <c r="D462" s="40">
        <v>1368</v>
      </c>
      <c r="E462" s="40">
        <v>6</v>
      </c>
      <c r="F462" s="60">
        <v>45495</v>
      </c>
      <c r="G462" s="59" t="s">
        <v>29</v>
      </c>
      <c r="H462" s="28">
        <f t="shared" si="18"/>
        <v>2024</v>
      </c>
      <c r="I462" s="80"/>
    </row>
    <row r="463" spans="1:9" hidden="1">
      <c r="A463" s="43">
        <v>8556</v>
      </c>
      <c r="B463" s="36" t="s">
        <v>158</v>
      </c>
      <c r="C463" s="34" t="s">
        <v>293</v>
      </c>
      <c r="D463" s="40">
        <v>1140</v>
      </c>
      <c r="E463" s="40">
        <v>5</v>
      </c>
      <c r="F463" s="60">
        <v>45495</v>
      </c>
      <c r="G463" s="59" t="s">
        <v>29</v>
      </c>
      <c r="H463" s="28">
        <f t="shared" si="18"/>
        <v>2024</v>
      </c>
      <c r="I463" s="80"/>
    </row>
    <row r="464" spans="1:9" hidden="1">
      <c r="A464" s="43">
        <v>8557</v>
      </c>
      <c r="B464" s="36" t="s">
        <v>372</v>
      </c>
      <c r="C464" s="34" t="s">
        <v>248</v>
      </c>
      <c r="D464" s="40">
        <v>6224</v>
      </c>
      <c r="E464" s="40">
        <v>8</v>
      </c>
      <c r="F464" s="60">
        <v>45495</v>
      </c>
      <c r="G464" s="59" t="s">
        <v>29</v>
      </c>
      <c r="H464" s="28">
        <f t="shared" si="18"/>
        <v>2024</v>
      </c>
      <c r="I464" s="80"/>
    </row>
    <row r="465" spans="1:9" hidden="1">
      <c r="A465" s="43">
        <v>8558</v>
      </c>
      <c r="B465" s="36" t="s">
        <v>373</v>
      </c>
      <c r="C465" s="34" t="s">
        <v>248</v>
      </c>
      <c r="D465" s="40">
        <v>6224</v>
      </c>
      <c r="E465" s="40">
        <v>8</v>
      </c>
      <c r="F465" s="60">
        <v>45545</v>
      </c>
      <c r="G465" s="48" t="s">
        <v>29</v>
      </c>
      <c r="H465" s="28">
        <f t="shared" si="18"/>
        <v>2024</v>
      </c>
      <c r="I465" s="80"/>
    </row>
    <row r="466" spans="1:9" hidden="1">
      <c r="A466" s="43">
        <v>8559</v>
      </c>
      <c r="B466" s="36" t="s">
        <v>337</v>
      </c>
      <c r="C466" s="34" t="s">
        <v>352</v>
      </c>
      <c r="D466" s="40">
        <v>912</v>
      </c>
      <c r="E466" s="40">
        <v>4</v>
      </c>
      <c r="F466" s="60">
        <v>45495</v>
      </c>
      <c r="G466" s="59" t="s">
        <v>29</v>
      </c>
      <c r="H466" s="28">
        <f t="shared" si="18"/>
        <v>2024</v>
      </c>
      <c r="I466" s="80"/>
    </row>
    <row r="467" spans="1:9" hidden="1">
      <c r="A467" s="43">
        <v>8560</v>
      </c>
      <c r="B467" s="36" t="s">
        <v>107</v>
      </c>
      <c r="C467" s="34" t="s">
        <v>248</v>
      </c>
      <c r="D467" s="40">
        <v>20228</v>
      </c>
      <c r="E467" s="40">
        <v>26</v>
      </c>
      <c r="F467" s="60">
        <v>45545</v>
      </c>
      <c r="G467" s="48" t="s">
        <v>29</v>
      </c>
      <c r="H467" s="28">
        <f t="shared" si="18"/>
        <v>2024</v>
      </c>
      <c r="I467" s="80"/>
    </row>
    <row r="468" spans="1:9" hidden="1">
      <c r="A468" s="43">
        <v>8561</v>
      </c>
      <c r="B468" s="36" t="s">
        <v>106</v>
      </c>
      <c r="C468" s="34" t="s">
        <v>248</v>
      </c>
      <c r="D468" s="40">
        <v>9336</v>
      </c>
      <c r="E468" s="40">
        <v>12</v>
      </c>
      <c r="F468" s="60">
        <v>45590</v>
      </c>
      <c r="G468" s="48" t="s">
        <v>29</v>
      </c>
      <c r="H468" s="28">
        <f t="shared" si="18"/>
        <v>2024</v>
      </c>
      <c r="I468" s="80"/>
    </row>
    <row r="469" spans="1:9" hidden="1">
      <c r="A469" s="43">
        <v>8562</v>
      </c>
      <c r="B469" s="36" t="s">
        <v>104</v>
      </c>
      <c r="C469" s="34" t="s">
        <v>248</v>
      </c>
      <c r="D469" s="40">
        <v>4468</v>
      </c>
      <c r="E469" s="40">
        <v>6</v>
      </c>
      <c r="F469" s="60">
        <v>45590</v>
      </c>
      <c r="G469" s="48" t="s">
        <v>29</v>
      </c>
      <c r="H469" s="28">
        <f t="shared" si="18"/>
        <v>2024</v>
      </c>
      <c r="I469" s="80"/>
    </row>
    <row r="470" spans="1:9" hidden="1">
      <c r="A470" s="43">
        <v>8563</v>
      </c>
      <c r="B470" s="36" t="s">
        <v>103</v>
      </c>
      <c r="C470" s="34" t="s">
        <v>248</v>
      </c>
      <c r="D470" s="40">
        <v>4668</v>
      </c>
      <c r="E470" s="40">
        <v>6</v>
      </c>
      <c r="F470" s="60">
        <v>45590</v>
      </c>
      <c r="G470" s="48" t="s">
        <v>29</v>
      </c>
      <c r="H470" s="28">
        <f t="shared" si="18"/>
        <v>2024</v>
      </c>
      <c r="I470" s="80"/>
    </row>
    <row r="471" spans="1:9" hidden="1">
      <c r="A471" s="43">
        <v>8564</v>
      </c>
      <c r="B471" s="36" t="s">
        <v>374</v>
      </c>
      <c r="C471" s="34" t="s">
        <v>248</v>
      </c>
      <c r="D471" s="40">
        <v>4668</v>
      </c>
      <c r="E471" s="40">
        <v>6</v>
      </c>
      <c r="F471" s="60">
        <v>45590</v>
      </c>
      <c r="G471" s="48" t="s">
        <v>29</v>
      </c>
      <c r="H471" s="28">
        <f t="shared" si="18"/>
        <v>2024</v>
      </c>
      <c r="I471" s="80"/>
    </row>
    <row r="472" spans="1:9" hidden="1">
      <c r="A472" s="43">
        <v>8565</v>
      </c>
      <c r="B472" s="36" t="s">
        <v>101</v>
      </c>
      <c r="C472" s="34" t="s">
        <v>248</v>
      </c>
      <c r="D472" s="40">
        <v>4668</v>
      </c>
      <c r="E472" s="40">
        <v>6</v>
      </c>
      <c r="F472" s="60">
        <v>45609</v>
      </c>
      <c r="G472" s="59" t="s">
        <v>29</v>
      </c>
      <c r="H472" s="28">
        <f t="shared" si="18"/>
        <v>2024</v>
      </c>
      <c r="I472" s="80"/>
    </row>
    <row r="473" spans="1:9" hidden="1">
      <c r="A473" s="43">
        <v>8566</v>
      </c>
      <c r="B473" s="36" t="s">
        <v>100</v>
      </c>
      <c r="C473" s="34" t="s">
        <v>248</v>
      </c>
      <c r="D473" s="40">
        <v>6224</v>
      </c>
      <c r="E473" s="40">
        <v>8</v>
      </c>
      <c r="F473" s="60">
        <v>45609</v>
      </c>
      <c r="G473" s="48" t="s">
        <v>29</v>
      </c>
      <c r="H473" s="28">
        <f t="shared" si="18"/>
        <v>2024</v>
      </c>
      <c r="I473" s="80"/>
    </row>
    <row r="474" spans="1:9" hidden="1">
      <c r="A474" s="43">
        <v>8568</v>
      </c>
      <c r="B474" s="36" t="s">
        <v>96</v>
      </c>
      <c r="C474" s="34" t="s">
        <v>248</v>
      </c>
      <c r="D474" s="40">
        <v>10892</v>
      </c>
      <c r="E474" s="40">
        <v>14</v>
      </c>
      <c r="F474" s="60">
        <v>45609</v>
      </c>
      <c r="G474" s="48" t="s">
        <v>29</v>
      </c>
      <c r="H474" s="28">
        <f t="shared" ref="H474:H485" si="19">YEAR(F474)</f>
        <v>2024</v>
      </c>
      <c r="I474" s="80"/>
    </row>
    <row r="475" spans="1:9" hidden="1">
      <c r="A475" s="43">
        <v>8569</v>
      </c>
      <c r="B475" s="36" t="s">
        <v>98</v>
      </c>
      <c r="C475" s="34" t="s">
        <v>248</v>
      </c>
      <c r="D475" s="40">
        <v>10892</v>
      </c>
      <c r="E475" s="40">
        <v>14</v>
      </c>
      <c r="F475" s="60">
        <v>45618</v>
      </c>
      <c r="G475" s="38" t="s">
        <v>29</v>
      </c>
      <c r="H475" s="28">
        <f t="shared" si="19"/>
        <v>2024</v>
      </c>
      <c r="I475" s="80"/>
    </row>
    <row r="476" spans="1:9" hidden="1">
      <c r="A476" s="43">
        <v>8570</v>
      </c>
      <c r="B476" s="36" t="s">
        <v>99</v>
      </c>
      <c r="C476" s="34" t="s">
        <v>248</v>
      </c>
      <c r="D476" s="40">
        <v>9336</v>
      </c>
      <c r="E476" s="40">
        <v>12</v>
      </c>
      <c r="F476" s="60">
        <v>45618</v>
      </c>
      <c r="G476" s="38" t="s">
        <v>29</v>
      </c>
      <c r="H476" s="28">
        <f t="shared" si="19"/>
        <v>2024</v>
      </c>
      <c r="I476" s="80"/>
    </row>
    <row r="477" spans="1:9" hidden="1">
      <c r="A477" s="43">
        <v>8571</v>
      </c>
      <c r="B477" s="36" t="s">
        <v>132</v>
      </c>
      <c r="C477" s="34" t="s">
        <v>253</v>
      </c>
      <c r="D477" s="40">
        <v>1824</v>
      </c>
      <c r="E477" s="40">
        <v>8</v>
      </c>
      <c r="F477" s="60">
        <v>45495</v>
      </c>
      <c r="G477" s="59" t="s">
        <v>29</v>
      </c>
      <c r="H477" s="28">
        <f t="shared" si="19"/>
        <v>2024</v>
      </c>
      <c r="I477" s="80"/>
    </row>
    <row r="478" spans="1:9" hidden="1">
      <c r="A478" s="43">
        <v>8572</v>
      </c>
      <c r="B478" s="36" t="s">
        <v>133</v>
      </c>
      <c r="C478" s="34" t="s">
        <v>253</v>
      </c>
      <c r="D478" s="40">
        <v>1368</v>
      </c>
      <c r="E478" s="40">
        <v>6</v>
      </c>
      <c r="F478" s="60">
        <v>45609</v>
      </c>
      <c r="G478" s="38" t="s">
        <v>29</v>
      </c>
      <c r="H478" s="28">
        <f t="shared" si="19"/>
        <v>2024</v>
      </c>
      <c r="I478" s="80"/>
    </row>
    <row r="479" spans="1:9" hidden="1">
      <c r="A479" s="43">
        <v>8573</v>
      </c>
      <c r="B479" s="36" t="s">
        <v>139</v>
      </c>
      <c r="C479" s="34" t="s">
        <v>253</v>
      </c>
      <c r="D479" s="40">
        <v>1824</v>
      </c>
      <c r="E479" s="40">
        <v>8</v>
      </c>
      <c r="F479" s="60">
        <v>45590</v>
      </c>
      <c r="G479" s="38" t="s">
        <v>29</v>
      </c>
      <c r="H479" s="28">
        <f t="shared" si="19"/>
        <v>2024</v>
      </c>
      <c r="I479" s="80"/>
    </row>
    <row r="480" spans="1:9" hidden="1">
      <c r="A480" s="43">
        <v>8574</v>
      </c>
      <c r="B480" s="36" t="s">
        <v>140</v>
      </c>
      <c r="C480" s="34" t="s">
        <v>253</v>
      </c>
      <c r="D480" s="40">
        <v>5016</v>
      </c>
      <c r="E480" s="40">
        <v>22</v>
      </c>
      <c r="F480" s="60">
        <v>45618</v>
      </c>
      <c r="G480" s="38" t="s">
        <v>29</v>
      </c>
      <c r="H480" s="28">
        <f t="shared" si="19"/>
        <v>2024</v>
      </c>
      <c r="I480" s="80"/>
    </row>
    <row r="481" spans="1:9" hidden="1">
      <c r="A481" s="113">
        <v>8575</v>
      </c>
      <c r="B481" s="49" t="s">
        <v>95</v>
      </c>
      <c r="C481" s="35" t="s">
        <v>248</v>
      </c>
      <c r="D481" s="41">
        <v>14004</v>
      </c>
      <c r="E481" s="41">
        <v>18</v>
      </c>
      <c r="F481" s="60">
        <v>45656</v>
      </c>
      <c r="G481" s="38" t="s">
        <v>29</v>
      </c>
      <c r="H481" s="28">
        <f t="shared" si="19"/>
        <v>2024</v>
      </c>
      <c r="I481" s="80"/>
    </row>
    <row r="482" spans="1:9" hidden="1">
      <c r="A482" s="113">
        <v>8576</v>
      </c>
      <c r="B482" s="74" t="s">
        <v>155</v>
      </c>
      <c r="C482" s="75" t="s">
        <v>294</v>
      </c>
      <c r="D482" s="76">
        <v>912</v>
      </c>
      <c r="E482" s="76">
        <v>4</v>
      </c>
      <c r="F482" s="67">
        <v>45495</v>
      </c>
      <c r="G482" s="77" t="s">
        <v>29</v>
      </c>
      <c r="H482" s="28">
        <f t="shared" si="19"/>
        <v>2024</v>
      </c>
      <c r="I482" s="80"/>
    </row>
    <row r="483" spans="1:9" hidden="1">
      <c r="A483" s="113">
        <v>8577</v>
      </c>
      <c r="B483" s="34" t="s">
        <v>211</v>
      </c>
      <c r="C483" s="34" t="s">
        <v>341</v>
      </c>
      <c r="D483" s="34">
        <v>1824</v>
      </c>
      <c r="E483" s="34">
        <v>8</v>
      </c>
      <c r="F483" s="60">
        <v>45609</v>
      </c>
      <c r="G483" s="31" t="s">
        <v>29</v>
      </c>
      <c r="H483" s="28">
        <f t="shared" si="19"/>
        <v>2024</v>
      </c>
      <c r="I483" s="80"/>
    </row>
    <row r="484" spans="1:9" hidden="1">
      <c r="A484" s="113">
        <v>8578</v>
      </c>
      <c r="B484" s="34" t="s">
        <v>137</v>
      </c>
      <c r="C484" s="34" t="s">
        <v>253</v>
      </c>
      <c r="D484" s="34">
        <v>912</v>
      </c>
      <c r="E484" s="34">
        <v>4</v>
      </c>
      <c r="F484" s="60">
        <v>45609</v>
      </c>
      <c r="G484" s="31" t="s">
        <v>29</v>
      </c>
      <c r="H484" s="28">
        <f t="shared" si="19"/>
        <v>2024</v>
      </c>
      <c r="I484" s="80"/>
    </row>
    <row r="485" spans="1:9" hidden="1">
      <c r="A485" s="113">
        <v>8579</v>
      </c>
      <c r="B485" s="34" t="s">
        <v>209</v>
      </c>
      <c r="C485" s="34" t="s">
        <v>375</v>
      </c>
      <c r="D485" s="34">
        <v>3648</v>
      </c>
      <c r="E485" s="34">
        <v>16</v>
      </c>
      <c r="F485" s="60">
        <v>45656</v>
      </c>
      <c r="G485" s="59" t="s">
        <v>29</v>
      </c>
      <c r="H485" s="28">
        <f t="shared" si="19"/>
        <v>2024</v>
      </c>
      <c r="I485" s="80"/>
    </row>
    <row r="486" spans="1:9" hidden="1">
      <c r="A486" s="43">
        <v>8581</v>
      </c>
      <c r="B486" s="34" t="s">
        <v>213</v>
      </c>
      <c r="C486" s="34" t="s">
        <v>375</v>
      </c>
      <c r="D486" s="34">
        <v>1368</v>
      </c>
      <c r="E486" s="34">
        <v>6</v>
      </c>
      <c r="F486" s="60">
        <v>45618</v>
      </c>
      <c r="G486" s="31" t="s">
        <v>29</v>
      </c>
      <c r="H486" s="28">
        <f t="shared" ref="H486:H494" si="20">YEAR(F486)</f>
        <v>2024</v>
      </c>
      <c r="I486" s="80"/>
    </row>
    <row r="487" spans="1:9" hidden="1">
      <c r="A487" s="113">
        <v>8582</v>
      </c>
      <c r="B487" s="34" t="s">
        <v>166</v>
      </c>
      <c r="C487" s="34" t="s">
        <v>294</v>
      </c>
      <c r="D487" s="34">
        <v>912</v>
      </c>
      <c r="E487" s="34">
        <v>4</v>
      </c>
      <c r="F487" s="60">
        <v>45656</v>
      </c>
      <c r="G487" s="31" t="s">
        <v>29</v>
      </c>
      <c r="H487" s="28">
        <f t="shared" si="20"/>
        <v>2024</v>
      </c>
      <c r="I487" s="80"/>
    </row>
    <row r="488" spans="1:9" hidden="1">
      <c r="A488" s="113">
        <v>8583</v>
      </c>
      <c r="B488" s="34" t="s">
        <v>376</v>
      </c>
      <c r="C488" s="34" t="s">
        <v>253</v>
      </c>
      <c r="D488" s="34">
        <v>1140</v>
      </c>
      <c r="E488" s="34">
        <v>5</v>
      </c>
      <c r="F488" s="60">
        <v>45656</v>
      </c>
      <c r="G488" s="31" t="s">
        <v>29</v>
      </c>
      <c r="H488" s="28">
        <f t="shared" si="20"/>
        <v>2024</v>
      </c>
    </row>
    <row r="489" spans="1:9" hidden="1">
      <c r="A489" s="113">
        <v>8584</v>
      </c>
      <c r="B489" s="34" t="s">
        <v>94</v>
      </c>
      <c r="C489" s="34" t="s">
        <v>248</v>
      </c>
      <c r="D489" s="34">
        <v>3112</v>
      </c>
      <c r="E489" s="34">
        <v>4</v>
      </c>
      <c r="F489" s="60">
        <v>45656</v>
      </c>
      <c r="G489" s="31" t="s">
        <v>29</v>
      </c>
      <c r="H489" s="28">
        <f t="shared" si="20"/>
        <v>2024</v>
      </c>
    </row>
    <row r="490" spans="1:9" hidden="1">
      <c r="A490" s="149">
        <v>8585</v>
      </c>
      <c r="B490" s="35" t="s">
        <v>377</v>
      </c>
      <c r="C490" s="35" t="s">
        <v>248</v>
      </c>
      <c r="D490" s="35">
        <v>9336</v>
      </c>
      <c r="E490" s="35">
        <v>12</v>
      </c>
      <c r="F490" s="35"/>
      <c r="G490" s="35" t="s">
        <v>135</v>
      </c>
      <c r="H490" s="28" t="s">
        <v>378</v>
      </c>
    </row>
    <row r="491" spans="1:9" hidden="1">
      <c r="A491" s="113">
        <v>8586</v>
      </c>
      <c r="B491" s="70" t="s">
        <v>178</v>
      </c>
      <c r="C491" s="70" t="s">
        <v>293</v>
      </c>
      <c r="D491" s="70">
        <v>2736</v>
      </c>
      <c r="E491" s="70">
        <v>12</v>
      </c>
      <c r="F491" s="70"/>
      <c r="G491" s="70" t="s">
        <v>29</v>
      </c>
      <c r="H491" s="28"/>
    </row>
    <row r="492" spans="1:9" hidden="1">
      <c r="A492" s="113">
        <v>8587</v>
      </c>
      <c r="B492" s="52" t="s">
        <v>211</v>
      </c>
      <c r="C492" s="34" t="s">
        <v>341</v>
      </c>
      <c r="D492" s="34">
        <v>1824</v>
      </c>
      <c r="E492" s="40">
        <v>8</v>
      </c>
      <c r="F492" s="60">
        <v>45656</v>
      </c>
      <c r="G492" s="70" t="s">
        <v>29</v>
      </c>
      <c r="H492" s="28">
        <f t="shared" si="20"/>
        <v>2024</v>
      </c>
      <c r="I492" s="80"/>
    </row>
    <row r="493" spans="1:9" hidden="1">
      <c r="A493" s="149">
        <v>8588</v>
      </c>
      <c r="B493" s="52" t="s">
        <v>91</v>
      </c>
      <c r="C493" s="35" t="s">
        <v>248</v>
      </c>
      <c r="D493" s="34">
        <v>10892</v>
      </c>
      <c r="E493" s="40">
        <v>14</v>
      </c>
      <c r="F493" s="60"/>
      <c r="G493" s="70" t="s">
        <v>135</v>
      </c>
      <c r="H493" s="28" t="s">
        <v>378</v>
      </c>
      <c r="I493" s="80"/>
    </row>
    <row r="494" spans="1:9" hidden="1">
      <c r="A494" s="152">
        <v>8589</v>
      </c>
      <c r="B494" s="52" t="s">
        <v>180</v>
      </c>
      <c r="C494" s="35" t="s">
        <v>253</v>
      </c>
      <c r="D494" s="34">
        <v>5016</v>
      </c>
      <c r="E494" s="40">
        <v>22</v>
      </c>
      <c r="F494" s="60">
        <v>45874</v>
      </c>
      <c r="G494" s="70" t="s">
        <v>29</v>
      </c>
      <c r="H494" s="28">
        <f t="shared" si="20"/>
        <v>2025</v>
      </c>
      <c r="I494" s="80"/>
    </row>
    <row r="495" spans="1:9" hidden="1">
      <c r="A495" s="152">
        <v>8590</v>
      </c>
      <c r="B495" s="52" t="s">
        <v>346</v>
      </c>
      <c r="C495" s="35" t="s">
        <v>375</v>
      </c>
      <c r="D495" s="34">
        <v>1824</v>
      </c>
      <c r="E495" s="40">
        <v>8</v>
      </c>
      <c r="F495" s="60">
        <v>45874</v>
      </c>
      <c r="G495" s="70" t="s">
        <v>29</v>
      </c>
      <c r="H495" s="28">
        <v>2025</v>
      </c>
      <c r="I495" s="80"/>
    </row>
    <row r="496" spans="1:9" hidden="1">
      <c r="A496" s="152">
        <v>8591</v>
      </c>
      <c r="B496" s="52" t="s">
        <v>149</v>
      </c>
      <c r="C496" s="35" t="s">
        <v>267</v>
      </c>
      <c r="D496" s="34">
        <v>4560</v>
      </c>
      <c r="E496" s="40">
        <v>20</v>
      </c>
      <c r="F496" s="60">
        <v>45874</v>
      </c>
      <c r="G496" s="70" t="s">
        <v>29</v>
      </c>
      <c r="H496" s="28">
        <v>2025</v>
      </c>
      <c r="I496" s="80"/>
    </row>
    <row r="497" spans="1:10" hidden="1">
      <c r="A497" s="152">
        <v>8592</v>
      </c>
      <c r="B497" s="53" t="s">
        <v>148</v>
      </c>
      <c r="C497" s="35" t="s">
        <v>267</v>
      </c>
      <c r="D497" s="35">
        <v>684</v>
      </c>
      <c r="E497" s="41">
        <v>3</v>
      </c>
      <c r="F497" s="60">
        <v>45874</v>
      </c>
      <c r="G497" s="70" t="s">
        <v>29</v>
      </c>
      <c r="H497" s="28">
        <v>2025</v>
      </c>
      <c r="I497" s="80"/>
    </row>
    <row r="498" spans="1:10" hidden="1">
      <c r="A498" s="152">
        <v>8593</v>
      </c>
      <c r="B498" s="34" t="s">
        <v>145</v>
      </c>
      <c r="C498" s="34" t="s">
        <v>267</v>
      </c>
      <c r="D498" s="34">
        <v>684</v>
      </c>
      <c r="E498" s="34">
        <v>3</v>
      </c>
      <c r="F498" s="60">
        <v>45874</v>
      </c>
      <c r="G498" s="70" t="s">
        <v>29</v>
      </c>
      <c r="H498" s="28">
        <v>2025</v>
      </c>
      <c r="I498" s="80"/>
    </row>
    <row r="499" spans="1:10" hidden="1">
      <c r="A499" s="149">
        <v>8594</v>
      </c>
      <c r="B499" s="34" t="s">
        <v>90</v>
      </c>
      <c r="C499" s="34" t="s">
        <v>248</v>
      </c>
      <c r="D499" s="34">
        <v>6224</v>
      </c>
      <c r="E499" s="34">
        <v>8</v>
      </c>
      <c r="F499" s="71"/>
      <c r="G499" s="70" t="s">
        <v>135</v>
      </c>
      <c r="H499" s="28" t="s">
        <v>378</v>
      </c>
      <c r="I499" s="80"/>
    </row>
    <row r="500" spans="1:10" hidden="1">
      <c r="A500" s="149">
        <v>8595</v>
      </c>
      <c r="B500" s="34" t="s">
        <v>379</v>
      </c>
      <c r="C500" s="34" t="s">
        <v>248</v>
      </c>
      <c r="D500" s="34">
        <v>3112</v>
      </c>
      <c r="E500" s="34">
        <v>4</v>
      </c>
      <c r="F500" s="71"/>
      <c r="G500" s="70" t="s">
        <v>135</v>
      </c>
      <c r="H500" s="28" t="s">
        <v>378</v>
      </c>
      <c r="I500" s="30"/>
      <c r="J500" s="28"/>
    </row>
    <row r="501" spans="1:10" hidden="1">
      <c r="A501" s="150">
        <v>8596</v>
      </c>
      <c r="B501" s="35" t="s">
        <v>89</v>
      </c>
      <c r="C501" s="35" t="s">
        <v>248</v>
      </c>
      <c r="D501" s="35">
        <v>9336</v>
      </c>
      <c r="E501" s="35">
        <v>12</v>
      </c>
      <c r="F501" s="90"/>
      <c r="G501" s="91" t="s">
        <v>135</v>
      </c>
      <c r="H501" s="28" t="s">
        <v>378</v>
      </c>
    </row>
    <row r="502" spans="1:10" hidden="1">
      <c r="A502" s="151">
        <f>A501+1</f>
        <v>8597</v>
      </c>
      <c r="B502" s="34" t="s">
        <v>88</v>
      </c>
      <c r="C502" s="34" t="s">
        <v>248</v>
      </c>
      <c r="D502" s="34">
        <v>15560</v>
      </c>
      <c r="E502" s="34">
        <v>20</v>
      </c>
      <c r="F502" s="71"/>
      <c r="G502" s="91" t="s">
        <v>135</v>
      </c>
      <c r="H502" s="28" t="s">
        <v>378</v>
      </c>
    </row>
    <row r="503" spans="1:10" hidden="1">
      <c r="A503" s="151">
        <f t="shared" ref="A503:A528" si="21">A502+1</f>
        <v>8598</v>
      </c>
      <c r="B503" s="34" t="s">
        <v>380</v>
      </c>
      <c r="C503" s="34" t="s">
        <v>248</v>
      </c>
      <c r="D503" s="34">
        <f>778*E503</f>
        <v>6224</v>
      </c>
      <c r="E503" s="34">
        <v>8</v>
      </c>
      <c r="F503" s="89"/>
      <c r="G503" s="91" t="s">
        <v>135</v>
      </c>
      <c r="H503" s="28" t="s">
        <v>378</v>
      </c>
    </row>
    <row r="504" spans="1:10" hidden="1">
      <c r="A504" s="151">
        <f t="shared" si="21"/>
        <v>8599</v>
      </c>
      <c r="B504" s="34" t="s">
        <v>84</v>
      </c>
      <c r="C504" s="34" t="s">
        <v>248</v>
      </c>
      <c r="D504" s="34">
        <f t="shared" ref="D504:D507" si="22">778*E504</f>
        <v>9336</v>
      </c>
      <c r="E504" s="34">
        <v>12</v>
      </c>
      <c r="F504" s="89"/>
      <c r="G504" s="91" t="s">
        <v>135</v>
      </c>
      <c r="H504" s="28" t="s">
        <v>356</v>
      </c>
    </row>
    <row r="505" spans="1:10" hidden="1">
      <c r="A505" s="151">
        <f>A504+1</f>
        <v>8600</v>
      </c>
      <c r="B505" s="34" t="s">
        <v>381</v>
      </c>
      <c r="C505" s="34" t="s">
        <v>248</v>
      </c>
      <c r="D505" s="34">
        <f t="shared" si="22"/>
        <v>4668</v>
      </c>
      <c r="E505" s="34">
        <v>6</v>
      </c>
      <c r="F505" s="89"/>
      <c r="G505" s="91" t="s">
        <v>135</v>
      </c>
      <c r="H505" s="28" t="s">
        <v>378</v>
      </c>
    </row>
    <row r="506" spans="1:10" hidden="1">
      <c r="A506" s="151">
        <f t="shared" si="21"/>
        <v>8601</v>
      </c>
      <c r="B506" s="34" t="s">
        <v>81</v>
      </c>
      <c r="C506" s="34" t="s">
        <v>248</v>
      </c>
      <c r="D506" s="34">
        <f t="shared" si="22"/>
        <v>10892</v>
      </c>
      <c r="E506" s="34">
        <v>14</v>
      </c>
      <c r="F506" s="89"/>
      <c r="G506" s="91" t="s">
        <v>135</v>
      </c>
      <c r="H506" s="28" t="s">
        <v>378</v>
      </c>
    </row>
    <row r="507" spans="1:10" hidden="1">
      <c r="A507" s="151">
        <f t="shared" si="21"/>
        <v>8602</v>
      </c>
      <c r="B507" s="34" t="s">
        <v>382</v>
      </c>
      <c r="C507" s="34" t="s">
        <v>248</v>
      </c>
      <c r="D507" s="34">
        <f t="shared" si="22"/>
        <v>3112</v>
      </c>
      <c r="E507" s="34">
        <v>4</v>
      </c>
      <c r="F507" s="89"/>
      <c r="G507" s="91" t="s">
        <v>135</v>
      </c>
      <c r="H507" s="28" t="s">
        <v>378</v>
      </c>
    </row>
    <row r="508" spans="1:10" hidden="1">
      <c r="A508" s="153">
        <f t="shared" si="21"/>
        <v>8603</v>
      </c>
      <c r="B508" s="34" t="s">
        <v>359</v>
      </c>
      <c r="C508" s="34" t="s">
        <v>253</v>
      </c>
      <c r="D508" s="34">
        <f>228*E508</f>
        <v>1824</v>
      </c>
      <c r="E508" s="34">
        <v>8</v>
      </c>
      <c r="F508" s="60">
        <v>45874</v>
      </c>
      <c r="G508" s="70" t="s">
        <v>29</v>
      </c>
      <c r="H508" s="28">
        <v>2025</v>
      </c>
    </row>
    <row r="509" spans="1:10" hidden="1">
      <c r="A509" s="153">
        <f t="shared" si="21"/>
        <v>8604</v>
      </c>
      <c r="B509" s="34" t="s">
        <v>131</v>
      </c>
      <c r="C509" s="34" t="s">
        <v>253</v>
      </c>
      <c r="D509" s="34">
        <f t="shared" ref="D509:D528" si="23">228*E509</f>
        <v>1368</v>
      </c>
      <c r="E509" s="34">
        <v>6</v>
      </c>
      <c r="F509" s="60">
        <v>45874</v>
      </c>
      <c r="G509" s="70" t="s">
        <v>29</v>
      </c>
      <c r="H509" s="28">
        <v>2025</v>
      </c>
    </row>
    <row r="510" spans="1:10" hidden="1">
      <c r="A510" s="153">
        <f t="shared" si="21"/>
        <v>8605</v>
      </c>
      <c r="B510" s="34" t="s">
        <v>134</v>
      </c>
      <c r="C510" s="34" t="s">
        <v>253</v>
      </c>
      <c r="D510" s="34">
        <f t="shared" si="23"/>
        <v>912</v>
      </c>
      <c r="E510" s="34">
        <v>4</v>
      </c>
      <c r="F510" s="60">
        <v>45874</v>
      </c>
      <c r="G510" s="70" t="s">
        <v>29</v>
      </c>
      <c r="H510" s="28">
        <v>2025</v>
      </c>
    </row>
    <row r="511" spans="1:10" hidden="1">
      <c r="A511" s="153">
        <f t="shared" si="21"/>
        <v>8606</v>
      </c>
      <c r="B511" s="34" t="s">
        <v>136</v>
      </c>
      <c r="C511" s="34" t="s">
        <v>253</v>
      </c>
      <c r="D511" s="34">
        <f t="shared" si="23"/>
        <v>1824</v>
      </c>
      <c r="E511" s="34">
        <v>8</v>
      </c>
      <c r="F511" s="60">
        <v>45874</v>
      </c>
      <c r="G511" s="70" t="s">
        <v>29</v>
      </c>
      <c r="H511" s="28">
        <v>2025</v>
      </c>
    </row>
    <row r="512" spans="1:10" hidden="1">
      <c r="A512" s="153">
        <f t="shared" si="21"/>
        <v>8607</v>
      </c>
      <c r="B512" s="34" t="s">
        <v>138</v>
      </c>
      <c r="C512" s="34" t="s">
        <v>253</v>
      </c>
      <c r="D512" s="34">
        <f t="shared" si="23"/>
        <v>1824</v>
      </c>
      <c r="E512" s="34">
        <v>8</v>
      </c>
      <c r="F512" s="60">
        <v>45874</v>
      </c>
      <c r="G512" s="70" t="s">
        <v>29</v>
      </c>
      <c r="H512" s="28">
        <v>2025</v>
      </c>
    </row>
    <row r="513" spans="1:8" hidden="1">
      <c r="A513" s="153">
        <f t="shared" si="21"/>
        <v>8608</v>
      </c>
      <c r="B513" s="34" t="s">
        <v>146</v>
      </c>
      <c r="C513" s="34" t="s">
        <v>267</v>
      </c>
      <c r="D513" s="34">
        <f t="shared" si="23"/>
        <v>2280</v>
      </c>
      <c r="E513" s="34">
        <v>10</v>
      </c>
      <c r="F513" s="60">
        <v>45874</v>
      </c>
      <c r="G513" s="70" t="s">
        <v>29</v>
      </c>
      <c r="H513" s="28">
        <v>2025</v>
      </c>
    </row>
    <row r="514" spans="1:8" hidden="1">
      <c r="A514" s="153">
        <f t="shared" si="21"/>
        <v>8609</v>
      </c>
      <c r="B514" s="34" t="s">
        <v>147</v>
      </c>
      <c r="C514" s="34" t="s">
        <v>267</v>
      </c>
      <c r="D514" s="34">
        <f t="shared" si="23"/>
        <v>912</v>
      </c>
      <c r="E514" s="34">
        <v>4</v>
      </c>
      <c r="F514" s="60">
        <v>45874</v>
      </c>
      <c r="G514" s="70" t="s">
        <v>29</v>
      </c>
      <c r="H514" s="28">
        <v>2025</v>
      </c>
    </row>
    <row r="515" spans="1:8" hidden="1">
      <c r="A515" s="153">
        <f t="shared" si="21"/>
        <v>8610</v>
      </c>
      <c r="B515" s="34" t="s">
        <v>156</v>
      </c>
      <c r="C515" s="34" t="s">
        <v>294</v>
      </c>
      <c r="D515" s="34">
        <f t="shared" si="23"/>
        <v>3420</v>
      </c>
      <c r="E515" s="34">
        <v>15</v>
      </c>
      <c r="F515" s="60">
        <v>45874</v>
      </c>
      <c r="G515" s="70" t="s">
        <v>29</v>
      </c>
      <c r="H515" s="28">
        <v>2025</v>
      </c>
    </row>
    <row r="516" spans="1:8" hidden="1">
      <c r="A516" s="153">
        <f t="shared" si="21"/>
        <v>8611</v>
      </c>
      <c r="B516" s="34" t="s">
        <v>159</v>
      </c>
      <c r="C516" s="34" t="s">
        <v>294</v>
      </c>
      <c r="D516" s="34">
        <f t="shared" si="23"/>
        <v>4104</v>
      </c>
      <c r="E516" s="34">
        <v>18</v>
      </c>
      <c r="F516" s="60">
        <v>45874</v>
      </c>
      <c r="G516" s="70" t="s">
        <v>29</v>
      </c>
      <c r="H516" s="28">
        <v>2025</v>
      </c>
    </row>
    <row r="517" spans="1:8" hidden="1">
      <c r="A517" s="153">
        <f t="shared" si="21"/>
        <v>8612</v>
      </c>
      <c r="B517" s="34" t="s">
        <v>161</v>
      </c>
      <c r="C517" s="34" t="s">
        <v>293</v>
      </c>
      <c r="D517" s="34">
        <f t="shared" si="23"/>
        <v>684</v>
      </c>
      <c r="E517" s="34">
        <v>3</v>
      </c>
      <c r="F517" s="60">
        <v>45874</v>
      </c>
      <c r="G517" s="70" t="s">
        <v>29</v>
      </c>
      <c r="H517" s="28">
        <v>2025</v>
      </c>
    </row>
    <row r="518" spans="1:8" hidden="1">
      <c r="A518" s="153">
        <f t="shared" si="21"/>
        <v>8613</v>
      </c>
      <c r="B518" s="34" t="s">
        <v>169</v>
      </c>
      <c r="C518" s="34" t="s">
        <v>294</v>
      </c>
      <c r="D518" s="34">
        <f t="shared" si="23"/>
        <v>912</v>
      </c>
      <c r="E518" s="34">
        <v>4</v>
      </c>
      <c r="F518" s="60">
        <v>45874</v>
      </c>
      <c r="G518" s="70" t="s">
        <v>29</v>
      </c>
      <c r="H518" s="28">
        <v>2025</v>
      </c>
    </row>
    <row r="519" spans="1:8" hidden="1">
      <c r="A519" s="153">
        <f t="shared" si="21"/>
        <v>8614</v>
      </c>
      <c r="B519" s="34" t="s">
        <v>339</v>
      </c>
      <c r="C519" s="34" t="s">
        <v>294</v>
      </c>
      <c r="D519" s="34">
        <f t="shared" si="23"/>
        <v>2280</v>
      </c>
      <c r="E519" s="34">
        <v>10</v>
      </c>
      <c r="F519" s="60">
        <v>45874</v>
      </c>
      <c r="G519" s="70" t="s">
        <v>29</v>
      </c>
      <c r="H519" s="28">
        <v>2025</v>
      </c>
    </row>
    <row r="520" spans="1:8" hidden="1">
      <c r="A520" s="153">
        <f t="shared" si="21"/>
        <v>8615</v>
      </c>
      <c r="B520" s="34" t="s">
        <v>175</v>
      </c>
      <c r="C520" s="34" t="s">
        <v>294</v>
      </c>
      <c r="D520" s="34">
        <f t="shared" si="23"/>
        <v>2280</v>
      </c>
      <c r="E520" s="34">
        <v>10</v>
      </c>
      <c r="F520" s="60">
        <v>45874</v>
      </c>
      <c r="G520" s="70" t="s">
        <v>29</v>
      </c>
      <c r="H520" s="28">
        <v>2025</v>
      </c>
    </row>
    <row r="521" spans="1:8" hidden="1">
      <c r="A521" s="153">
        <f t="shared" si="21"/>
        <v>8616</v>
      </c>
      <c r="B521" s="34" t="s">
        <v>185</v>
      </c>
      <c r="C521" s="34" t="s">
        <v>293</v>
      </c>
      <c r="D521" s="34">
        <f t="shared" si="23"/>
        <v>1596</v>
      </c>
      <c r="E521" s="34">
        <v>7</v>
      </c>
      <c r="F521" s="60">
        <v>45874</v>
      </c>
      <c r="G521" s="70" t="s">
        <v>29</v>
      </c>
      <c r="H521" s="28">
        <v>2025</v>
      </c>
    </row>
    <row r="522" spans="1:8" hidden="1">
      <c r="A522" s="153">
        <f t="shared" si="21"/>
        <v>8617</v>
      </c>
      <c r="B522" s="34" t="s">
        <v>188</v>
      </c>
      <c r="C522" s="34" t="s">
        <v>293</v>
      </c>
      <c r="D522" s="34">
        <f t="shared" si="23"/>
        <v>1140</v>
      </c>
      <c r="E522" s="34">
        <v>5</v>
      </c>
      <c r="F522" s="60">
        <v>45874</v>
      </c>
      <c r="G522" s="70" t="s">
        <v>29</v>
      </c>
      <c r="H522" s="28">
        <v>2025</v>
      </c>
    </row>
    <row r="523" spans="1:8" hidden="1">
      <c r="A523" s="153">
        <f t="shared" si="21"/>
        <v>8618</v>
      </c>
      <c r="B523" s="34" t="s">
        <v>190</v>
      </c>
      <c r="C523" s="34" t="s">
        <v>293</v>
      </c>
      <c r="D523" s="34">
        <f t="shared" si="23"/>
        <v>912</v>
      </c>
      <c r="E523" s="34">
        <v>4</v>
      </c>
      <c r="F523" s="60">
        <v>45874</v>
      </c>
      <c r="G523" s="70" t="s">
        <v>29</v>
      </c>
      <c r="H523" s="28">
        <v>2025</v>
      </c>
    </row>
    <row r="524" spans="1:8" hidden="1">
      <c r="A524" s="153">
        <f t="shared" si="21"/>
        <v>8619</v>
      </c>
      <c r="B524" s="34" t="s">
        <v>266</v>
      </c>
      <c r="C524" s="34" t="s">
        <v>293</v>
      </c>
      <c r="D524" s="34">
        <f t="shared" si="23"/>
        <v>1824</v>
      </c>
      <c r="E524" s="34">
        <v>8</v>
      </c>
      <c r="F524" s="60">
        <v>45874</v>
      </c>
      <c r="G524" s="70" t="s">
        <v>29</v>
      </c>
      <c r="H524" s="28">
        <v>2025</v>
      </c>
    </row>
    <row r="525" spans="1:8" hidden="1">
      <c r="A525" s="153">
        <f t="shared" si="21"/>
        <v>8620</v>
      </c>
      <c r="B525" s="34" t="s">
        <v>197</v>
      </c>
      <c r="C525" s="34" t="s">
        <v>341</v>
      </c>
      <c r="D525" s="34">
        <f t="shared" si="23"/>
        <v>2508</v>
      </c>
      <c r="E525" s="34">
        <v>11</v>
      </c>
      <c r="F525" s="60">
        <v>45874</v>
      </c>
      <c r="G525" s="70" t="s">
        <v>29</v>
      </c>
      <c r="H525" s="28">
        <v>2025</v>
      </c>
    </row>
    <row r="526" spans="1:8" hidden="1">
      <c r="A526" s="153">
        <f t="shared" si="21"/>
        <v>8621</v>
      </c>
      <c r="B526" s="34" t="s">
        <v>198</v>
      </c>
      <c r="C526" s="34" t="s">
        <v>341</v>
      </c>
      <c r="D526" s="34">
        <f t="shared" si="23"/>
        <v>912</v>
      </c>
      <c r="E526" s="34">
        <v>4</v>
      </c>
      <c r="F526" s="60">
        <v>45874</v>
      </c>
      <c r="G526" s="70" t="s">
        <v>29</v>
      </c>
      <c r="H526" s="28">
        <v>2025</v>
      </c>
    </row>
    <row r="527" spans="1:8" hidden="1">
      <c r="A527" s="153">
        <f t="shared" si="21"/>
        <v>8622</v>
      </c>
      <c r="B527" s="34" t="s">
        <v>206</v>
      </c>
      <c r="C527" s="34" t="s">
        <v>375</v>
      </c>
      <c r="D527" s="34">
        <f t="shared" si="23"/>
        <v>912</v>
      </c>
      <c r="E527" s="34">
        <v>4</v>
      </c>
      <c r="F527" s="60">
        <v>45874</v>
      </c>
      <c r="G527" s="70" t="s">
        <v>29</v>
      </c>
      <c r="H527" s="28">
        <v>2025</v>
      </c>
    </row>
    <row r="528" spans="1:8" hidden="1">
      <c r="A528" s="153">
        <f t="shared" si="21"/>
        <v>8623</v>
      </c>
      <c r="B528" s="35" t="s">
        <v>217</v>
      </c>
      <c r="C528" s="35" t="s">
        <v>375</v>
      </c>
      <c r="D528" s="35">
        <f t="shared" si="23"/>
        <v>912</v>
      </c>
      <c r="E528" s="35">
        <v>4</v>
      </c>
      <c r="F528" s="60">
        <v>45874</v>
      </c>
      <c r="G528" s="70" t="s">
        <v>29</v>
      </c>
      <c r="H528" s="28">
        <v>2025</v>
      </c>
    </row>
    <row r="529" spans="1:8" hidden="1">
      <c r="A529" s="153">
        <f>A528+1</f>
        <v>8624</v>
      </c>
      <c r="B529" s="85" t="s">
        <v>76</v>
      </c>
      <c r="C529" s="72"/>
      <c r="D529" s="72"/>
      <c r="E529" s="72"/>
      <c r="F529" s="89"/>
      <c r="G529" s="30" t="s">
        <v>356</v>
      </c>
      <c r="H529" s="30" t="s">
        <v>356</v>
      </c>
    </row>
    <row r="530" spans="1:8" hidden="1">
      <c r="A530" s="153">
        <f t="shared" ref="A530:A549" si="24">A529+1</f>
        <v>8625</v>
      </c>
      <c r="B530" s="35" t="s">
        <v>77</v>
      </c>
      <c r="C530" s="35" t="s">
        <v>253</v>
      </c>
      <c r="D530" s="35">
        <f t="shared" ref="D530" si="25">228*E530</f>
        <v>912</v>
      </c>
      <c r="E530" s="35">
        <v>4</v>
      </c>
      <c r="F530" s="60">
        <v>45874</v>
      </c>
      <c r="G530" s="70" t="s">
        <v>29</v>
      </c>
      <c r="H530" s="28">
        <v>2025</v>
      </c>
    </row>
    <row r="531" spans="1:8" hidden="1">
      <c r="A531" s="153">
        <f t="shared" si="24"/>
        <v>8626</v>
      </c>
      <c r="B531" s="35" t="s">
        <v>219</v>
      </c>
      <c r="C531" s="34" t="s">
        <v>341</v>
      </c>
      <c r="D531" s="35">
        <v>1140</v>
      </c>
      <c r="E531" s="35">
        <v>5</v>
      </c>
      <c r="F531" s="60">
        <v>45874</v>
      </c>
      <c r="G531" s="70" t="s">
        <v>29</v>
      </c>
      <c r="H531" s="28">
        <v>2025</v>
      </c>
    </row>
    <row r="532" spans="1:8" hidden="1">
      <c r="A532" s="153">
        <f t="shared" si="24"/>
        <v>8627</v>
      </c>
      <c r="B532" s="35" t="s">
        <v>219</v>
      </c>
      <c r="C532" s="34" t="s">
        <v>352</v>
      </c>
      <c r="D532" s="35">
        <v>1140</v>
      </c>
      <c r="E532" s="35">
        <v>5</v>
      </c>
      <c r="F532" s="60">
        <v>45874</v>
      </c>
      <c r="G532" s="70" t="s">
        <v>29</v>
      </c>
      <c r="H532" s="28">
        <v>2025</v>
      </c>
    </row>
    <row r="533" spans="1:8" hidden="1">
      <c r="A533" s="151">
        <v>8670</v>
      </c>
      <c r="B533" s="35" t="s">
        <v>73</v>
      </c>
      <c r="C533" s="35" t="s">
        <v>248</v>
      </c>
      <c r="D533" s="35">
        <v>9336</v>
      </c>
      <c r="E533" s="35">
        <v>12</v>
      </c>
      <c r="F533" s="89"/>
      <c r="G533" s="91" t="s">
        <v>135</v>
      </c>
      <c r="H533" s="30" t="s">
        <v>378</v>
      </c>
    </row>
    <row r="534" spans="1:8" hidden="1">
      <c r="A534" s="153">
        <f t="shared" si="24"/>
        <v>8671</v>
      </c>
      <c r="B534" s="35" t="s">
        <v>128</v>
      </c>
      <c r="C534" s="35" t="s">
        <v>253</v>
      </c>
      <c r="D534" s="35">
        <v>2736</v>
      </c>
      <c r="E534" s="35">
        <v>12</v>
      </c>
      <c r="F534" s="60">
        <v>45874</v>
      </c>
      <c r="G534" s="70" t="s">
        <v>29</v>
      </c>
      <c r="H534" s="28">
        <v>2025</v>
      </c>
    </row>
    <row r="535" spans="1:8" hidden="1">
      <c r="A535" s="153">
        <f t="shared" si="24"/>
        <v>8672</v>
      </c>
      <c r="B535" s="35" t="s">
        <v>129</v>
      </c>
      <c r="C535" s="35" t="s">
        <v>253</v>
      </c>
      <c r="D535" s="35">
        <v>2280</v>
      </c>
      <c r="E535" s="35">
        <v>10</v>
      </c>
      <c r="F535" s="60">
        <v>45874</v>
      </c>
      <c r="G535" s="70" t="s">
        <v>29</v>
      </c>
      <c r="H535" s="28">
        <v>2025</v>
      </c>
    </row>
    <row r="536" spans="1:8" hidden="1">
      <c r="A536" s="153">
        <f t="shared" si="24"/>
        <v>8673</v>
      </c>
      <c r="B536" s="35" t="s">
        <v>127</v>
      </c>
      <c r="C536" s="35" t="s">
        <v>253</v>
      </c>
      <c r="D536" s="35">
        <v>1368</v>
      </c>
      <c r="E536" s="35">
        <v>6</v>
      </c>
      <c r="F536" s="60">
        <v>45874</v>
      </c>
      <c r="G536" s="70" t="s">
        <v>29</v>
      </c>
      <c r="H536" s="28">
        <v>2025</v>
      </c>
    </row>
    <row r="537" spans="1:8" hidden="1">
      <c r="A537" s="153">
        <f t="shared" si="24"/>
        <v>8674</v>
      </c>
      <c r="B537" s="35" t="s">
        <v>137</v>
      </c>
      <c r="C537" s="35" t="s">
        <v>267</v>
      </c>
      <c r="D537" s="35">
        <v>912</v>
      </c>
      <c r="E537" s="35">
        <v>4</v>
      </c>
      <c r="F537" s="60">
        <v>45874</v>
      </c>
      <c r="G537" s="70" t="s">
        <v>29</v>
      </c>
      <c r="H537" s="28">
        <v>2025</v>
      </c>
    </row>
    <row r="538" spans="1:8" hidden="1">
      <c r="A538" s="153">
        <f t="shared" si="24"/>
        <v>8675</v>
      </c>
      <c r="B538" s="35" t="s">
        <v>349</v>
      </c>
      <c r="C538" s="35" t="s">
        <v>267</v>
      </c>
      <c r="D538" s="35">
        <v>912</v>
      </c>
      <c r="E538" s="35">
        <v>4</v>
      </c>
      <c r="F538" s="60">
        <v>45874</v>
      </c>
      <c r="G538" s="70" t="s">
        <v>29</v>
      </c>
      <c r="H538" s="28">
        <v>2025</v>
      </c>
    </row>
    <row r="539" spans="1:8" hidden="1">
      <c r="A539" s="153">
        <f t="shared" si="24"/>
        <v>8676</v>
      </c>
      <c r="B539" s="35" t="s">
        <v>150</v>
      </c>
      <c r="C539" s="35" t="s">
        <v>294</v>
      </c>
      <c r="D539" s="35">
        <v>2280</v>
      </c>
      <c r="E539" s="35">
        <v>10</v>
      </c>
      <c r="F539" s="60">
        <v>45874</v>
      </c>
      <c r="G539" s="70" t="s">
        <v>29</v>
      </c>
      <c r="H539" s="28">
        <v>2025</v>
      </c>
    </row>
    <row r="540" spans="1:8" hidden="1">
      <c r="A540" s="153">
        <f t="shared" si="24"/>
        <v>8677</v>
      </c>
      <c r="B540" s="35" t="s">
        <v>164</v>
      </c>
      <c r="C540" s="35" t="s">
        <v>293</v>
      </c>
      <c r="D540" s="35">
        <v>912</v>
      </c>
      <c r="E540" s="35">
        <v>4</v>
      </c>
      <c r="F540" s="60">
        <v>45874</v>
      </c>
      <c r="G540" s="70" t="s">
        <v>29</v>
      </c>
      <c r="H540" s="28">
        <v>2025</v>
      </c>
    </row>
    <row r="541" spans="1:8" hidden="1">
      <c r="A541" s="153">
        <f t="shared" si="24"/>
        <v>8678</v>
      </c>
      <c r="B541" s="35" t="s">
        <v>171</v>
      </c>
      <c r="C541" s="35" t="s">
        <v>293</v>
      </c>
      <c r="D541" s="35">
        <v>1596</v>
      </c>
      <c r="E541" s="35">
        <v>7</v>
      </c>
      <c r="F541" s="60">
        <v>45874</v>
      </c>
      <c r="G541" s="70" t="s">
        <v>29</v>
      </c>
      <c r="H541" s="28">
        <v>2025</v>
      </c>
    </row>
    <row r="542" spans="1:8" hidden="1">
      <c r="A542" s="153">
        <f t="shared" si="24"/>
        <v>8679</v>
      </c>
      <c r="B542" s="35" t="s">
        <v>172</v>
      </c>
      <c r="C542" s="35" t="s">
        <v>293</v>
      </c>
      <c r="D542" s="35">
        <v>684</v>
      </c>
      <c r="E542" s="35">
        <v>3</v>
      </c>
      <c r="F542" s="60">
        <v>45874</v>
      </c>
      <c r="G542" s="70" t="s">
        <v>29</v>
      </c>
      <c r="H542" s="28">
        <v>2025</v>
      </c>
    </row>
    <row r="543" spans="1:8" hidden="1">
      <c r="A543" s="153">
        <f t="shared" si="24"/>
        <v>8680</v>
      </c>
      <c r="B543" s="35" t="s">
        <v>178</v>
      </c>
      <c r="C543" s="35" t="s">
        <v>341</v>
      </c>
      <c r="D543" s="35">
        <v>2736</v>
      </c>
      <c r="E543" s="35">
        <v>12</v>
      </c>
      <c r="F543" s="60">
        <v>45874</v>
      </c>
      <c r="G543" s="70" t="s">
        <v>29</v>
      </c>
      <c r="H543" s="28">
        <v>2025</v>
      </c>
    </row>
    <row r="544" spans="1:8" hidden="1">
      <c r="A544" s="153">
        <f t="shared" si="24"/>
        <v>8681</v>
      </c>
      <c r="B544" s="35" t="s">
        <v>181</v>
      </c>
      <c r="C544" s="35" t="s">
        <v>341</v>
      </c>
      <c r="D544" s="35">
        <v>1824</v>
      </c>
      <c r="E544" s="35">
        <v>8</v>
      </c>
      <c r="F544" s="60">
        <v>45874</v>
      </c>
      <c r="G544" s="70" t="s">
        <v>29</v>
      </c>
      <c r="H544" s="28">
        <v>2025</v>
      </c>
    </row>
    <row r="545" spans="1:9" hidden="1">
      <c r="A545" s="153">
        <f t="shared" si="24"/>
        <v>8682</v>
      </c>
      <c r="B545" s="35" t="s">
        <v>207</v>
      </c>
      <c r="C545" s="35" t="s">
        <v>375</v>
      </c>
      <c r="D545" s="35">
        <v>4560</v>
      </c>
      <c r="E545" s="35">
        <v>20</v>
      </c>
      <c r="F545" s="60">
        <v>45874</v>
      </c>
      <c r="G545" s="70" t="s">
        <v>29</v>
      </c>
      <c r="H545" s="28">
        <v>2025</v>
      </c>
    </row>
    <row r="546" spans="1:9" hidden="1">
      <c r="A546" s="153">
        <f t="shared" si="24"/>
        <v>8683</v>
      </c>
      <c r="B546" s="35" t="s">
        <v>211</v>
      </c>
      <c r="C546" s="35" t="s">
        <v>383</v>
      </c>
      <c r="D546" s="35">
        <v>1824</v>
      </c>
      <c r="E546" s="35">
        <v>8</v>
      </c>
      <c r="F546" s="60">
        <v>45874</v>
      </c>
      <c r="G546" s="70" t="s">
        <v>29</v>
      </c>
      <c r="H546" s="28">
        <v>2025</v>
      </c>
    </row>
    <row r="547" spans="1:9" hidden="1">
      <c r="A547" s="153">
        <f t="shared" si="24"/>
        <v>8684</v>
      </c>
      <c r="B547" s="35" t="s">
        <v>384</v>
      </c>
      <c r="C547" s="35" t="s">
        <v>341</v>
      </c>
      <c r="D547" s="35">
        <v>684</v>
      </c>
      <c r="E547" s="35">
        <v>3</v>
      </c>
      <c r="F547" s="60">
        <v>45874</v>
      </c>
      <c r="G547" s="70" t="s">
        <v>29</v>
      </c>
      <c r="H547" s="28">
        <v>2025</v>
      </c>
    </row>
    <row r="548" spans="1:9" hidden="1">
      <c r="A548" s="154">
        <f>A547+1</f>
        <v>8685</v>
      </c>
      <c r="B548" s="35" t="s">
        <v>384</v>
      </c>
      <c r="C548" s="35" t="s">
        <v>352</v>
      </c>
      <c r="D548" s="35">
        <v>684</v>
      </c>
      <c r="E548" s="35">
        <v>3</v>
      </c>
      <c r="F548" s="60">
        <v>45874</v>
      </c>
      <c r="G548" s="70" t="s">
        <v>29</v>
      </c>
      <c r="H548" s="28">
        <v>2025</v>
      </c>
    </row>
    <row r="549" spans="1:9" hidden="1">
      <c r="A549" s="155">
        <f t="shared" si="24"/>
        <v>8686</v>
      </c>
      <c r="B549" s="35" t="s">
        <v>220</v>
      </c>
      <c r="C549" s="35" t="s">
        <v>341</v>
      </c>
      <c r="D549" s="35">
        <v>684</v>
      </c>
      <c r="E549" s="35">
        <v>3</v>
      </c>
      <c r="F549" s="60">
        <v>45874</v>
      </c>
      <c r="G549" s="70" t="s">
        <v>29</v>
      </c>
      <c r="H549" s="28">
        <v>2025</v>
      </c>
    </row>
    <row r="550" spans="1:9" hidden="1">
      <c r="A550" s="151">
        <v>8670</v>
      </c>
      <c r="B550" s="34" t="s">
        <v>72</v>
      </c>
      <c r="C550" s="34" t="s">
        <v>248</v>
      </c>
      <c r="D550" s="34">
        <f>E550*I550</f>
        <v>9336</v>
      </c>
      <c r="E550" s="34">
        <v>12</v>
      </c>
      <c r="F550" s="89"/>
      <c r="G550" s="70" t="s">
        <v>135</v>
      </c>
      <c r="H550" s="28">
        <v>2025</v>
      </c>
      <c r="I550">
        <v>778</v>
      </c>
    </row>
    <row r="551" spans="1:9" hidden="1">
      <c r="A551" s="151">
        <v>8670</v>
      </c>
      <c r="B551" s="34" t="s">
        <v>71</v>
      </c>
      <c r="C551" s="34" t="s">
        <v>248</v>
      </c>
      <c r="D551" s="34">
        <f t="shared" ref="D551:D566" si="26">E551*I551</f>
        <v>7780</v>
      </c>
      <c r="E551" s="34">
        <v>10</v>
      </c>
      <c r="F551" s="89"/>
      <c r="G551" s="70" t="s">
        <v>135</v>
      </c>
      <c r="H551" s="28">
        <v>2025</v>
      </c>
      <c r="I551">
        <v>778</v>
      </c>
    </row>
    <row r="552" spans="1:9" hidden="1">
      <c r="A552" s="151">
        <v>8670</v>
      </c>
      <c r="B552" s="34" t="s">
        <v>70</v>
      </c>
      <c r="C552" s="34" t="s">
        <v>248</v>
      </c>
      <c r="D552" s="34">
        <f t="shared" si="26"/>
        <v>3112</v>
      </c>
      <c r="E552" s="34">
        <v>4</v>
      </c>
      <c r="F552" s="89"/>
      <c r="G552" s="70" t="s">
        <v>135</v>
      </c>
      <c r="H552" s="28">
        <v>2025</v>
      </c>
      <c r="I552">
        <v>778</v>
      </c>
    </row>
    <row r="553" spans="1:9" hidden="1">
      <c r="A553" s="151">
        <v>8670</v>
      </c>
      <c r="B553" s="34" t="s">
        <v>69</v>
      </c>
      <c r="C553" s="34" t="s">
        <v>248</v>
      </c>
      <c r="D553" s="34">
        <f t="shared" si="26"/>
        <v>10892</v>
      </c>
      <c r="E553" s="34">
        <v>14</v>
      </c>
      <c r="F553" s="89"/>
      <c r="G553" s="70" t="s">
        <v>135</v>
      </c>
      <c r="H553" s="28">
        <v>2025</v>
      </c>
      <c r="I553">
        <v>778</v>
      </c>
    </row>
    <row r="554" spans="1:9" hidden="1">
      <c r="A554" s="151">
        <v>8670</v>
      </c>
      <c r="B554" s="34" t="s">
        <v>68</v>
      </c>
      <c r="C554" s="34" t="s">
        <v>248</v>
      </c>
      <c r="D554" s="34">
        <f t="shared" si="26"/>
        <v>6224</v>
      </c>
      <c r="E554" s="34">
        <v>8</v>
      </c>
      <c r="F554" s="89"/>
      <c r="G554" s="70" t="s">
        <v>135</v>
      </c>
      <c r="H554" s="28">
        <v>2025</v>
      </c>
      <c r="I554">
        <v>778</v>
      </c>
    </row>
    <row r="555" spans="1:9" hidden="1">
      <c r="A555" s="151">
        <v>8670</v>
      </c>
      <c r="B555" s="34" t="s">
        <v>65</v>
      </c>
      <c r="C555" s="34" t="s">
        <v>248</v>
      </c>
      <c r="D555" s="34">
        <f t="shared" si="26"/>
        <v>12448</v>
      </c>
      <c r="E555" s="34">
        <v>16</v>
      </c>
      <c r="F555" s="89"/>
      <c r="G555" s="70" t="s">
        <v>135</v>
      </c>
      <c r="H555" s="28">
        <v>2025</v>
      </c>
      <c r="I555">
        <v>778</v>
      </c>
    </row>
    <row r="556" spans="1:9" hidden="1">
      <c r="A556" s="151">
        <v>8670</v>
      </c>
      <c r="B556" s="34" t="s">
        <v>385</v>
      </c>
      <c r="C556" s="34" t="s">
        <v>248</v>
      </c>
      <c r="D556" s="34">
        <f t="shared" si="26"/>
        <v>6224</v>
      </c>
      <c r="E556" s="34">
        <v>8</v>
      </c>
      <c r="F556" s="89"/>
      <c r="G556" s="70" t="s">
        <v>135</v>
      </c>
      <c r="H556" s="28">
        <v>2025</v>
      </c>
      <c r="I556">
        <v>778</v>
      </c>
    </row>
    <row r="557" spans="1:9" hidden="1">
      <c r="A557" s="151">
        <v>8670</v>
      </c>
      <c r="B557" s="34" t="s">
        <v>60</v>
      </c>
      <c r="C557" s="34" t="s">
        <v>248</v>
      </c>
      <c r="D557" s="34">
        <f t="shared" si="26"/>
        <v>12448</v>
      </c>
      <c r="E557" s="34">
        <v>16</v>
      </c>
      <c r="F557" s="89"/>
      <c r="G557" s="70" t="s">
        <v>135</v>
      </c>
      <c r="H557" s="28">
        <v>2025</v>
      </c>
      <c r="I557">
        <v>778</v>
      </c>
    </row>
    <row r="558" spans="1:9" hidden="1">
      <c r="A558" s="151">
        <v>8670</v>
      </c>
      <c r="B558" s="34" t="s">
        <v>59</v>
      </c>
      <c r="C558" s="34" t="s">
        <v>248</v>
      </c>
      <c r="D558" s="34">
        <f t="shared" si="26"/>
        <v>6224</v>
      </c>
      <c r="E558" s="34">
        <v>8</v>
      </c>
      <c r="F558" s="89"/>
      <c r="G558" s="70" t="s">
        <v>135</v>
      </c>
      <c r="H558" s="28">
        <v>2025</v>
      </c>
      <c r="I558">
        <v>778</v>
      </c>
    </row>
    <row r="559" spans="1:9" hidden="1">
      <c r="A559" s="151">
        <v>8670</v>
      </c>
      <c r="B559" s="34" t="s">
        <v>57</v>
      </c>
      <c r="C559" s="34" t="s">
        <v>248</v>
      </c>
      <c r="D559" s="34">
        <f t="shared" si="26"/>
        <v>12448</v>
      </c>
      <c r="E559" s="34">
        <v>16</v>
      </c>
      <c r="F559" s="89"/>
      <c r="G559" s="70" t="s">
        <v>135</v>
      </c>
      <c r="H559" s="28">
        <v>2025</v>
      </c>
      <c r="I559">
        <v>778</v>
      </c>
    </row>
    <row r="560" spans="1:9" hidden="1">
      <c r="A560" s="151">
        <v>8670</v>
      </c>
      <c r="B560" s="34" t="s">
        <v>56</v>
      </c>
      <c r="C560" s="34" t="s">
        <v>248</v>
      </c>
      <c r="D560" s="34">
        <f t="shared" si="26"/>
        <v>4668</v>
      </c>
      <c r="E560" s="34">
        <v>6</v>
      </c>
      <c r="F560" s="89"/>
      <c r="G560" s="70" t="s">
        <v>135</v>
      </c>
      <c r="H560" s="28">
        <v>2025</v>
      </c>
      <c r="I560">
        <v>778</v>
      </c>
    </row>
    <row r="561" spans="1:9" hidden="1">
      <c r="A561" s="151">
        <v>8670</v>
      </c>
      <c r="B561" s="34" t="s">
        <v>54</v>
      </c>
      <c r="C561" s="34" t="s">
        <v>248</v>
      </c>
      <c r="D561" s="34">
        <f t="shared" si="26"/>
        <v>6224</v>
      </c>
      <c r="E561" s="34">
        <v>8</v>
      </c>
      <c r="F561" s="89"/>
      <c r="G561" s="70" t="s">
        <v>135</v>
      </c>
      <c r="H561" s="28">
        <v>2025</v>
      </c>
      <c r="I561">
        <v>778</v>
      </c>
    </row>
    <row r="562" spans="1:9" hidden="1">
      <c r="A562" s="151">
        <v>8670</v>
      </c>
      <c r="B562" s="34" t="s">
        <v>52</v>
      </c>
      <c r="C562" s="34" t="s">
        <v>248</v>
      </c>
      <c r="D562" s="34">
        <f t="shared" si="26"/>
        <v>9336</v>
      </c>
      <c r="E562" s="34">
        <v>12</v>
      </c>
      <c r="F562" s="89"/>
      <c r="G562" s="70" t="s">
        <v>135</v>
      </c>
      <c r="H562" s="28">
        <v>2025</v>
      </c>
      <c r="I562">
        <v>778</v>
      </c>
    </row>
    <row r="563" spans="1:9" hidden="1">
      <c r="A563" s="151">
        <v>8670</v>
      </c>
      <c r="B563" s="34" t="s">
        <v>386</v>
      </c>
      <c r="C563" s="34" t="s">
        <v>248</v>
      </c>
      <c r="D563" s="34">
        <f t="shared" si="26"/>
        <v>9336</v>
      </c>
      <c r="E563" s="34">
        <v>12</v>
      </c>
      <c r="F563" s="89"/>
      <c r="G563" s="70" t="s">
        <v>135</v>
      </c>
      <c r="H563" s="28">
        <v>2025</v>
      </c>
      <c r="I563">
        <v>778</v>
      </c>
    </row>
    <row r="564" spans="1:9" hidden="1">
      <c r="A564" s="151">
        <v>8670</v>
      </c>
      <c r="B564" s="34" t="s">
        <v>49</v>
      </c>
      <c r="C564" s="34" t="s">
        <v>248</v>
      </c>
      <c r="D564" s="34">
        <f t="shared" si="26"/>
        <v>6224</v>
      </c>
      <c r="E564" s="34">
        <v>8</v>
      </c>
      <c r="F564" s="89"/>
      <c r="G564" s="70" t="s">
        <v>135</v>
      </c>
      <c r="H564" s="28">
        <v>2025</v>
      </c>
      <c r="I564">
        <v>778</v>
      </c>
    </row>
    <row r="565" spans="1:9" hidden="1">
      <c r="A565" s="151">
        <v>8670</v>
      </c>
      <c r="B565" s="34" t="s">
        <v>48</v>
      </c>
      <c r="C565" s="34" t="s">
        <v>248</v>
      </c>
      <c r="D565" s="34">
        <f t="shared" si="26"/>
        <v>6224</v>
      </c>
      <c r="E565" s="34">
        <v>8</v>
      </c>
      <c r="F565" s="137"/>
      <c r="G565" s="70" t="s">
        <v>135</v>
      </c>
      <c r="H565" s="28">
        <v>2025</v>
      </c>
      <c r="I565">
        <v>778</v>
      </c>
    </row>
    <row r="566" spans="1:9" hidden="1">
      <c r="A566" s="151">
        <v>8670</v>
      </c>
      <c r="B566" s="34" t="s">
        <v>387</v>
      </c>
      <c r="C566" s="34" t="s">
        <v>248</v>
      </c>
      <c r="D566" s="34">
        <f t="shared" si="26"/>
        <v>1556</v>
      </c>
      <c r="E566" s="40">
        <v>2</v>
      </c>
      <c r="F566" s="89"/>
      <c r="G566" s="26" t="s">
        <v>135</v>
      </c>
      <c r="H566" s="28">
        <v>2025</v>
      </c>
      <c r="I566">
        <v>778</v>
      </c>
    </row>
    <row r="567" spans="1:9" hidden="1">
      <c r="A567" s="172">
        <v>8664</v>
      </c>
      <c r="B567" s="34" t="s">
        <v>155</v>
      </c>
      <c r="C567" s="34" t="s">
        <v>293</v>
      </c>
      <c r="D567" s="34">
        <f>E567*I567</f>
        <v>912</v>
      </c>
      <c r="E567" s="40">
        <v>4</v>
      </c>
      <c r="F567" s="175">
        <v>45874</v>
      </c>
      <c r="G567" s="70" t="s">
        <v>29</v>
      </c>
      <c r="H567" s="28">
        <v>2025</v>
      </c>
      <c r="I567">
        <v>228</v>
      </c>
    </row>
    <row r="568" spans="1:9" hidden="1">
      <c r="A568" s="172">
        <v>8664</v>
      </c>
      <c r="B568" s="34" t="s">
        <v>140</v>
      </c>
      <c r="C568" s="34" t="s">
        <v>267</v>
      </c>
      <c r="D568" s="34">
        <f t="shared" ref="D568:D574" si="27">E568*I568</f>
        <v>5016</v>
      </c>
      <c r="E568" s="40">
        <v>22</v>
      </c>
      <c r="F568" s="60">
        <v>45874</v>
      </c>
      <c r="G568" s="70" t="s">
        <v>29</v>
      </c>
      <c r="H568" s="28">
        <v>2025</v>
      </c>
      <c r="I568">
        <v>228</v>
      </c>
    </row>
    <row r="569" spans="1:9" hidden="1">
      <c r="A569" s="172">
        <v>8664</v>
      </c>
      <c r="B569" s="34" t="s">
        <v>139</v>
      </c>
      <c r="C569" s="34" t="s">
        <v>267</v>
      </c>
      <c r="D569" s="34">
        <f t="shared" si="27"/>
        <v>1824</v>
      </c>
      <c r="E569" s="40">
        <v>8</v>
      </c>
      <c r="F569" s="60">
        <v>45874</v>
      </c>
      <c r="G569" s="70" t="s">
        <v>29</v>
      </c>
      <c r="H569" s="28">
        <v>2025</v>
      </c>
      <c r="I569">
        <v>228</v>
      </c>
    </row>
    <row r="570" spans="1:9" hidden="1">
      <c r="A570" s="172">
        <v>8664</v>
      </c>
      <c r="B570" s="34" t="s">
        <v>133</v>
      </c>
      <c r="C570" s="34" t="s">
        <v>267</v>
      </c>
      <c r="D570" s="34">
        <f t="shared" si="27"/>
        <v>1368</v>
      </c>
      <c r="E570" s="40">
        <v>6</v>
      </c>
      <c r="F570" s="60">
        <v>45874</v>
      </c>
      <c r="G570" s="70" t="s">
        <v>29</v>
      </c>
      <c r="H570" s="28">
        <v>2025</v>
      </c>
      <c r="I570">
        <v>228</v>
      </c>
    </row>
    <row r="571" spans="1:9" hidden="1">
      <c r="A571" s="172">
        <v>8664</v>
      </c>
      <c r="B571" s="34" t="s">
        <v>132</v>
      </c>
      <c r="C571" s="34" t="s">
        <v>267</v>
      </c>
      <c r="D571" s="34">
        <f t="shared" si="27"/>
        <v>1824</v>
      </c>
      <c r="E571" s="40">
        <v>8</v>
      </c>
      <c r="F571" s="60">
        <v>45874</v>
      </c>
      <c r="G571" s="70" t="s">
        <v>29</v>
      </c>
      <c r="H571" s="28">
        <v>2025</v>
      </c>
      <c r="I571">
        <v>228</v>
      </c>
    </row>
    <row r="572" spans="1:9" hidden="1">
      <c r="A572" s="172">
        <v>8664</v>
      </c>
      <c r="B572" s="34" t="s">
        <v>99</v>
      </c>
      <c r="C572" s="34" t="s">
        <v>253</v>
      </c>
      <c r="D572" s="34">
        <f t="shared" si="27"/>
        <v>2736</v>
      </c>
      <c r="E572" s="40">
        <v>12</v>
      </c>
      <c r="F572" s="60">
        <v>45874</v>
      </c>
      <c r="G572" s="70" t="s">
        <v>29</v>
      </c>
      <c r="H572" s="28">
        <v>2025</v>
      </c>
      <c r="I572">
        <v>228</v>
      </c>
    </row>
    <row r="573" spans="1:9" hidden="1">
      <c r="A573" s="172">
        <v>8664</v>
      </c>
      <c r="B573" s="34" t="s">
        <v>98</v>
      </c>
      <c r="C573" s="34" t="s">
        <v>253</v>
      </c>
      <c r="D573" s="34">
        <f t="shared" si="27"/>
        <v>3192</v>
      </c>
      <c r="E573" s="40">
        <v>14</v>
      </c>
      <c r="F573" s="60">
        <v>45874</v>
      </c>
      <c r="G573" s="70" t="s">
        <v>29</v>
      </c>
      <c r="H573" s="28">
        <v>2025</v>
      </c>
      <c r="I573">
        <v>228</v>
      </c>
    </row>
    <row r="574" spans="1:9" hidden="1">
      <c r="A574" s="172">
        <v>8664</v>
      </c>
      <c r="B574" s="34" t="s">
        <v>96</v>
      </c>
      <c r="C574" s="34" t="s">
        <v>253</v>
      </c>
      <c r="D574" s="34">
        <f t="shared" si="27"/>
        <v>3192</v>
      </c>
      <c r="E574" s="40">
        <v>14</v>
      </c>
      <c r="F574" s="60">
        <v>45874</v>
      </c>
      <c r="G574" s="70" t="s">
        <v>29</v>
      </c>
      <c r="H574" s="28">
        <v>2025</v>
      </c>
      <c r="I574">
        <v>228</v>
      </c>
    </row>
    <row r="575" spans="1:9" hidden="1">
      <c r="A575" s="172">
        <v>8664</v>
      </c>
      <c r="B575" s="34" t="s">
        <v>100</v>
      </c>
      <c r="C575" s="34" t="s">
        <v>253</v>
      </c>
      <c r="D575" s="34">
        <f>E575*I575</f>
        <v>1824</v>
      </c>
      <c r="E575" s="40">
        <v>8</v>
      </c>
      <c r="F575" s="60">
        <v>45874</v>
      </c>
      <c r="G575" s="70" t="s">
        <v>29</v>
      </c>
      <c r="H575" s="28">
        <v>2025</v>
      </c>
      <c r="I575">
        <v>228</v>
      </c>
    </row>
    <row r="576" spans="1:9" hidden="1">
      <c r="A576" s="172">
        <v>8664</v>
      </c>
      <c r="B576" s="34" t="s">
        <v>101</v>
      </c>
      <c r="C576" s="34" t="s">
        <v>253</v>
      </c>
      <c r="D576" s="34">
        <f t="shared" ref="D576:D588" si="28">E576*I576</f>
        <v>1368</v>
      </c>
      <c r="E576" s="40">
        <v>6</v>
      </c>
      <c r="F576" s="60">
        <v>45874</v>
      </c>
      <c r="G576" s="70" t="s">
        <v>29</v>
      </c>
      <c r="H576" s="28">
        <v>2025</v>
      </c>
      <c r="I576">
        <v>228</v>
      </c>
    </row>
    <row r="577" spans="1:9" hidden="1">
      <c r="A577" s="172">
        <v>8664</v>
      </c>
      <c r="B577" s="34" t="s">
        <v>102</v>
      </c>
      <c r="C577" s="34" t="s">
        <v>253</v>
      </c>
      <c r="D577" s="34">
        <f t="shared" si="28"/>
        <v>1368</v>
      </c>
      <c r="E577" s="40">
        <v>6</v>
      </c>
      <c r="F577" s="60">
        <v>45874</v>
      </c>
      <c r="G577" s="70" t="s">
        <v>29</v>
      </c>
      <c r="H577" s="28">
        <v>2025</v>
      </c>
      <c r="I577">
        <v>228</v>
      </c>
    </row>
    <row r="578" spans="1:9" hidden="1">
      <c r="A578" s="172">
        <v>8664</v>
      </c>
      <c r="B578" s="34" t="s">
        <v>103</v>
      </c>
      <c r="C578" s="34" t="s">
        <v>253</v>
      </c>
      <c r="D578" s="34">
        <f t="shared" si="28"/>
        <v>2280</v>
      </c>
      <c r="E578" s="40">
        <v>10</v>
      </c>
      <c r="F578" s="60">
        <v>45874</v>
      </c>
      <c r="G578" s="70" t="s">
        <v>29</v>
      </c>
      <c r="H578" s="28">
        <v>2025</v>
      </c>
      <c r="I578">
        <v>228</v>
      </c>
    </row>
    <row r="579" spans="1:9" hidden="1">
      <c r="A579" s="172">
        <v>8664</v>
      </c>
      <c r="B579" s="34" t="s">
        <v>104</v>
      </c>
      <c r="C579" s="34" t="s">
        <v>253</v>
      </c>
      <c r="D579" s="34">
        <f t="shared" si="28"/>
        <v>1368</v>
      </c>
      <c r="E579" s="40">
        <v>6</v>
      </c>
      <c r="F579" s="60">
        <v>45874</v>
      </c>
      <c r="G579" s="70" t="s">
        <v>29</v>
      </c>
      <c r="H579" s="28">
        <v>2025</v>
      </c>
      <c r="I579">
        <v>228</v>
      </c>
    </row>
    <row r="580" spans="1:9" hidden="1">
      <c r="A580" s="172">
        <v>8664</v>
      </c>
      <c r="B580" s="34" t="s">
        <v>106</v>
      </c>
      <c r="C580" s="34" t="s">
        <v>253</v>
      </c>
      <c r="D580" s="34">
        <f t="shared" si="28"/>
        <v>2736</v>
      </c>
      <c r="E580" s="40">
        <v>12</v>
      </c>
      <c r="F580" s="60">
        <v>45874</v>
      </c>
      <c r="G580" s="70" t="s">
        <v>29</v>
      </c>
      <c r="H580" s="28">
        <v>2025</v>
      </c>
      <c r="I580">
        <v>228</v>
      </c>
    </row>
    <row r="581" spans="1:9" hidden="1">
      <c r="A581" s="172">
        <v>8664</v>
      </c>
      <c r="B581" s="34" t="s">
        <v>107</v>
      </c>
      <c r="C581" s="34" t="s">
        <v>253</v>
      </c>
      <c r="D581" s="34">
        <f t="shared" si="28"/>
        <v>5928</v>
      </c>
      <c r="E581" s="40">
        <v>26</v>
      </c>
      <c r="F581" s="60">
        <v>45874</v>
      </c>
      <c r="G581" s="70" t="s">
        <v>29</v>
      </c>
      <c r="H581" s="28">
        <v>2025</v>
      </c>
      <c r="I581">
        <v>228</v>
      </c>
    </row>
    <row r="582" spans="1:9" hidden="1">
      <c r="A582" s="172">
        <v>8664</v>
      </c>
      <c r="B582" s="34" t="s">
        <v>108</v>
      </c>
      <c r="C582" s="34" t="s">
        <v>253</v>
      </c>
      <c r="D582" s="34">
        <f t="shared" si="28"/>
        <v>1824</v>
      </c>
      <c r="E582" s="40">
        <v>8</v>
      </c>
      <c r="F582" s="60">
        <v>45874</v>
      </c>
      <c r="G582" s="70" t="s">
        <v>29</v>
      </c>
      <c r="H582" s="28">
        <v>2025</v>
      </c>
      <c r="I582">
        <v>228</v>
      </c>
    </row>
    <row r="583" spans="1:9" hidden="1">
      <c r="A583" s="172">
        <v>8664</v>
      </c>
      <c r="B583" s="34" t="s">
        <v>372</v>
      </c>
      <c r="C583" s="34" t="s">
        <v>253</v>
      </c>
      <c r="D583" s="34">
        <f t="shared" si="28"/>
        <v>1824</v>
      </c>
      <c r="E583" s="40">
        <v>8</v>
      </c>
      <c r="F583" s="60">
        <v>45874</v>
      </c>
      <c r="G583" s="70" t="s">
        <v>29</v>
      </c>
      <c r="H583" s="28">
        <v>2025</v>
      </c>
      <c r="I583">
        <v>228</v>
      </c>
    </row>
    <row r="584" spans="1:9" hidden="1">
      <c r="A584" s="172">
        <v>8664</v>
      </c>
      <c r="B584" s="34" t="s">
        <v>115</v>
      </c>
      <c r="C584" s="34" t="s">
        <v>253</v>
      </c>
      <c r="D584" s="34">
        <f t="shared" si="28"/>
        <v>1824</v>
      </c>
      <c r="E584" s="40">
        <v>8</v>
      </c>
      <c r="F584" s="60">
        <v>45874</v>
      </c>
      <c r="G584" s="70" t="s">
        <v>29</v>
      </c>
      <c r="H584" s="28">
        <v>2025</v>
      </c>
      <c r="I584">
        <v>228</v>
      </c>
    </row>
    <row r="585" spans="1:9" hidden="1">
      <c r="A585" s="172">
        <v>8664</v>
      </c>
      <c r="B585" s="34" t="s">
        <v>143</v>
      </c>
      <c r="C585" s="34" t="s">
        <v>267</v>
      </c>
      <c r="D585" s="34">
        <f t="shared" si="28"/>
        <v>4104</v>
      </c>
      <c r="E585" s="40">
        <v>18</v>
      </c>
      <c r="F585" s="60">
        <v>45874</v>
      </c>
      <c r="G585" s="70" t="s">
        <v>29</v>
      </c>
      <c r="H585" s="28">
        <v>2025</v>
      </c>
      <c r="I585">
        <v>228</v>
      </c>
    </row>
    <row r="586" spans="1:9" hidden="1">
      <c r="A586" s="172">
        <v>8664</v>
      </c>
      <c r="B586" s="34" t="s">
        <v>157</v>
      </c>
      <c r="C586" s="34" t="s">
        <v>293</v>
      </c>
      <c r="D586" s="34">
        <f t="shared" si="28"/>
        <v>1368</v>
      </c>
      <c r="E586" s="40">
        <v>6</v>
      </c>
      <c r="F586" s="60">
        <v>45874</v>
      </c>
      <c r="G586" s="70" t="s">
        <v>29</v>
      </c>
      <c r="H586" s="28">
        <v>2025</v>
      </c>
      <c r="I586">
        <v>228</v>
      </c>
    </row>
    <row r="587" spans="1:9" hidden="1">
      <c r="A587" s="172">
        <v>8664</v>
      </c>
      <c r="B587" s="34" t="s">
        <v>158</v>
      </c>
      <c r="C587" s="34" t="s">
        <v>293</v>
      </c>
      <c r="D587" s="34">
        <f t="shared" si="28"/>
        <v>1140</v>
      </c>
      <c r="E587" s="40">
        <v>5</v>
      </c>
      <c r="F587" s="60">
        <v>45874</v>
      </c>
      <c r="G587" s="70" t="s">
        <v>29</v>
      </c>
      <c r="H587" s="28">
        <v>2025</v>
      </c>
      <c r="I587">
        <v>228</v>
      </c>
    </row>
    <row r="588" spans="1:9" hidden="1">
      <c r="A588" s="172">
        <v>8664</v>
      </c>
      <c r="B588" s="34" t="s">
        <v>215</v>
      </c>
      <c r="C588" s="34" t="s">
        <v>383</v>
      </c>
      <c r="D588" s="34">
        <f t="shared" si="28"/>
        <v>1368</v>
      </c>
      <c r="E588" s="40">
        <v>6</v>
      </c>
      <c r="F588" s="60">
        <v>45874</v>
      </c>
      <c r="G588" s="70" t="s">
        <v>29</v>
      </c>
      <c r="H588" s="28">
        <v>2025</v>
      </c>
      <c r="I588">
        <v>228</v>
      </c>
    </row>
    <row r="589" spans="1:9" hidden="1">
      <c r="A589" s="172">
        <v>8664</v>
      </c>
      <c r="B589" s="34" t="s">
        <v>111</v>
      </c>
      <c r="C589" s="34" t="s">
        <v>253</v>
      </c>
      <c r="D589" s="34">
        <f>E589*I589</f>
        <v>1824</v>
      </c>
      <c r="E589" s="40">
        <v>8</v>
      </c>
      <c r="F589" s="60">
        <v>45874</v>
      </c>
      <c r="G589" s="70" t="s">
        <v>29</v>
      </c>
      <c r="H589" s="28">
        <v>2025</v>
      </c>
      <c r="I589">
        <v>228</v>
      </c>
    </row>
    <row r="590" spans="1:9" hidden="1">
      <c r="A590" s="172">
        <v>8664</v>
      </c>
      <c r="B590" s="34" t="s">
        <v>117</v>
      </c>
      <c r="C590" s="34" t="s">
        <v>253</v>
      </c>
      <c r="D590" s="34">
        <f t="shared" ref="D590:D592" si="29">E590*I590</f>
        <v>1824</v>
      </c>
      <c r="E590" s="40">
        <v>8</v>
      </c>
      <c r="F590" s="60">
        <v>45874</v>
      </c>
      <c r="G590" s="70" t="s">
        <v>29</v>
      </c>
      <c r="H590" s="28">
        <v>2025</v>
      </c>
      <c r="I590">
        <v>228</v>
      </c>
    </row>
    <row r="591" spans="1:9" hidden="1">
      <c r="A591" s="172">
        <v>8664</v>
      </c>
      <c r="B591" s="34" t="s">
        <v>167</v>
      </c>
      <c r="C591" s="34" t="s">
        <v>293</v>
      </c>
      <c r="D591" s="34">
        <f t="shared" si="29"/>
        <v>1368</v>
      </c>
      <c r="E591" s="40">
        <v>6</v>
      </c>
      <c r="F591" s="60">
        <v>45874</v>
      </c>
      <c r="G591" s="70" t="s">
        <v>29</v>
      </c>
      <c r="H591" s="28">
        <v>2025</v>
      </c>
      <c r="I591">
        <v>228</v>
      </c>
    </row>
    <row r="592" spans="1:9" hidden="1">
      <c r="A592" s="156">
        <v>8687</v>
      </c>
      <c r="B592" s="34" t="s">
        <v>204</v>
      </c>
      <c r="D592" s="34">
        <f t="shared" si="29"/>
        <v>912</v>
      </c>
      <c r="E592" s="40">
        <v>4</v>
      </c>
      <c r="F592" s="89"/>
      <c r="G592" s="26" t="s">
        <v>135</v>
      </c>
      <c r="H592" s="28" t="s">
        <v>378</v>
      </c>
      <c r="I592">
        <v>228</v>
      </c>
    </row>
    <row r="593" spans="1:9" hidden="1">
      <c r="A593" s="172">
        <v>8664</v>
      </c>
      <c r="B593" s="34" t="s">
        <v>388</v>
      </c>
      <c r="C593" s="34" t="s">
        <v>253</v>
      </c>
      <c r="D593" s="34">
        <f>E593*I593</f>
        <v>2280</v>
      </c>
      <c r="E593" s="40">
        <v>10</v>
      </c>
      <c r="F593" s="60">
        <v>45874</v>
      </c>
      <c r="G593" s="70" t="s">
        <v>29</v>
      </c>
      <c r="H593" s="28">
        <v>2025</v>
      </c>
      <c r="I593">
        <v>228</v>
      </c>
    </row>
    <row r="594" spans="1:9" hidden="1">
      <c r="A594" s="172">
        <v>8664</v>
      </c>
      <c r="B594" s="34" t="s">
        <v>113</v>
      </c>
      <c r="C594" s="34" t="s">
        <v>253</v>
      </c>
      <c r="D594" s="34">
        <f t="shared" ref="D594:D605" si="30">E594*I594</f>
        <v>2964</v>
      </c>
      <c r="E594" s="40">
        <v>13</v>
      </c>
      <c r="F594" s="60">
        <v>45874</v>
      </c>
      <c r="G594" s="70" t="s">
        <v>29</v>
      </c>
      <c r="H594" s="28">
        <v>2025</v>
      </c>
      <c r="I594">
        <v>228</v>
      </c>
    </row>
    <row r="595" spans="1:9" hidden="1">
      <c r="A595" s="172">
        <v>8664</v>
      </c>
      <c r="B595" s="34" t="s">
        <v>116</v>
      </c>
      <c r="C595" s="34" t="s">
        <v>253</v>
      </c>
      <c r="D595" s="34">
        <f t="shared" si="30"/>
        <v>1824</v>
      </c>
      <c r="E595" s="40">
        <v>8</v>
      </c>
      <c r="F595" s="60">
        <v>45874</v>
      </c>
      <c r="G595" s="70" t="s">
        <v>29</v>
      </c>
      <c r="H595" s="28">
        <v>2025</v>
      </c>
      <c r="I595">
        <v>228</v>
      </c>
    </row>
    <row r="596" spans="1:9" hidden="1">
      <c r="A596" s="172">
        <v>8664</v>
      </c>
      <c r="B596" s="34" t="s">
        <v>118</v>
      </c>
      <c r="C596" s="34" t="s">
        <v>253</v>
      </c>
      <c r="D596" s="34">
        <f t="shared" si="30"/>
        <v>3192</v>
      </c>
      <c r="E596" s="40">
        <v>14</v>
      </c>
      <c r="F596" s="60">
        <v>45874</v>
      </c>
      <c r="G596" s="70" t="s">
        <v>29</v>
      </c>
      <c r="H596" s="28">
        <v>2025</v>
      </c>
      <c r="I596">
        <v>228</v>
      </c>
    </row>
    <row r="597" spans="1:9" hidden="1">
      <c r="A597" s="172">
        <v>8664</v>
      </c>
      <c r="B597" s="34" t="s">
        <v>119</v>
      </c>
      <c r="C597" s="34" t="s">
        <v>253</v>
      </c>
      <c r="D597" s="34">
        <f t="shared" si="30"/>
        <v>1824</v>
      </c>
      <c r="E597" s="40">
        <v>8</v>
      </c>
      <c r="F597" s="60">
        <v>45874</v>
      </c>
      <c r="G597" s="70" t="s">
        <v>29</v>
      </c>
      <c r="H597" s="28">
        <v>2025</v>
      </c>
      <c r="I597">
        <v>228</v>
      </c>
    </row>
    <row r="598" spans="1:9" hidden="1">
      <c r="A598" s="172">
        <v>8664</v>
      </c>
      <c r="B598" s="34" t="s">
        <v>120</v>
      </c>
      <c r="C598" s="34" t="s">
        <v>253</v>
      </c>
      <c r="D598" s="34">
        <f t="shared" si="30"/>
        <v>3648</v>
      </c>
      <c r="E598" s="40">
        <v>16</v>
      </c>
      <c r="F598" s="60">
        <v>45874</v>
      </c>
      <c r="G598" s="70" t="s">
        <v>29</v>
      </c>
      <c r="H598" s="28">
        <v>2025</v>
      </c>
      <c r="I598">
        <v>228</v>
      </c>
    </row>
    <row r="599" spans="1:9" hidden="1">
      <c r="A599" s="172">
        <v>8664</v>
      </c>
      <c r="B599" s="34" t="s">
        <v>121</v>
      </c>
      <c r="C599" s="34" t="s">
        <v>253</v>
      </c>
      <c r="D599" s="34">
        <f t="shared" si="30"/>
        <v>2280</v>
      </c>
      <c r="E599" s="40">
        <v>10</v>
      </c>
      <c r="F599" s="60">
        <v>45874</v>
      </c>
      <c r="G599" s="70" t="s">
        <v>29</v>
      </c>
      <c r="H599" s="28">
        <v>2025</v>
      </c>
      <c r="I599">
        <v>228</v>
      </c>
    </row>
    <row r="600" spans="1:9" hidden="1">
      <c r="A600" s="172">
        <v>8664</v>
      </c>
      <c r="B600" s="34" t="s">
        <v>123</v>
      </c>
      <c r="C600" s="35" t="s">
        <v>253</v>
      </c>
      <c r="D600" s="34">
        <f t="shared" si="30"/>
        <v>2736</v>
      </c>
      <c r="E600" s="40">
        <v>12</v>
      </c>
      <c r="F600" s="60">
        <v>45874</v>
      </c>
      <c r="G600" s="70" t="s">
        <v>29</v>
      </c>
      <c r="H600" s="28">
        <v>2025</v>
      </c>
      <c r="I600">
        <v>228</v>
      </c>
    </row>
    <row r="601" spans="1:9" hidden="1">
      <c r="A601" s="172">
        <v>8664</v>
      </c>
      <c r="B601" s="40" t="s">
        <v>142</v>
      </c>
      <c r="C601" s="35" t="s">
        <v>267</v>
      </c>
      <c r="D601" s="36">
        <f t="shared" si="30"/>
        <v>1368</v>
      </c>
      <c r="E601" s="40">
        <v>6</v>
      </c>
      <c r="F601" s="60">
        <v>45874</v>
      </c>
      <c r="G601" s="70" t="s">
        <v>29</v>
      </c>
      <c r="H601" s="28">
        <v>2025</v>
      </c>
      <c r="I601">
        <v>228</v>
      </c>
    </row>
    <row r="602" spans="1:9" hidden="1">
      <c r="A602" s="172">
        <v>8664</v>
      </c>
      <c r="B602" s="40" t="s">
        <v>144</v>
      </c>
      <c r="C602" s="35" t="s">
        <v>267</v>
      </c>
      <c r="D602" s="36">
        <f t="shared" si="30"/>
        <v>2280</v>
      </c>
      <c r="E602" s="40">
        <v>10</v>
      </c>
      <c r="F602" s="60">
        <v>45874</v>
      </c>
      <c r="G602" s="70" t="s">
        <v>29</v>
      </c>
      <c r="H602" s="28">
        <v>2025</v>
      </c>
      <c r="I602">
        <v>228</v>
      </c>
    </row>
    <row r="603" spans="1:9" hidden="1">
      <c r="A603" s="172">
        <v>8664</v>
      </c>
      <c r="B603" s="40" t="s">
        <v>153</v>
      </c>
      <c r="C603" s="35" t="s">
        <v>294</v>
      </c>
      <c r="D603" s="36">
        <f t="shared" si="30"/>
        <v>2736</v>
      </c>
      <c r="E603" s="40">
        <v>12</v>
      </c>
      <c r="F603" s="60">
        <v>45874</v>
      </c>
      <c r="G603" s="70" t="s">
        <v>29</v>
      </c>
      <c r="H603" s="28">
        <v>2025</v>
      </c>
      <c r="I603">
        <v>228</v>
      </c>
    </row>
    <row r="604" spans="1:9" hidden="1">
      <c r="A604" s="172">
        <v>8664</v>
      </c>
      <c r="B604" s="40" t="s">
        <v>154</v>
      </c>
      <c r="C604" s="35" t="s">
        <v>294</v>
      </c>
      <c r="D604" s="36">
        <f t="shared" si="30"/>
        <v>1368</v>
      </c>
      <c r="E604" s="40">
        <v>6</v>
      </c>
      <c r="F604" s="60">
        <v>45874</v>
      </c>
      <c r="G604" s="70" t="s">
        <v>29</v>
      </c>
      <c r="H604" s="28">
        <v>2025</v>
      </c>
      <c r="I604">
        <v>228</v>
      </c>
    </row>
    <row r="605" spans="1:9" hidden="1">
      <c r="A605" s="172">
        <v>8664</v>
      </c>
      <c r="B605" s="40" t="s">
        <v>177</v>
      </c>
      <c r="C605" s="35" t="s">
        <v>293</v>
      </c>
      <c r="D605" s="36">
        <f t="shared" si="30"/>
        <v>1368</v>
      </c>
      <c r="E605" s="40">
        <v>6</v>
      </c>
      <c r="F605" s="60">
        <v>45874</v>
      </c>
      <c r="G605" s="70" t="s">
        <v>29</v>
      </c>
      <c r="H605" s="28">
        <v>2025</v>
      </c>
      <c r="I605">
        <v>228</v>
      </c>
    </row>
    <row r="606" spans="1:9" hidden="1">
      <c r="A606" s="172">
        <v>8664</v>
      </c>
      <c r="B606" s="40" t="s">
        <v>202</v>
      </c>
      <c r="C606" s="35" t="s">
        <v>375</v>
      </c>
      <c r="D606" s="36">
        <f>E606*I606</f>
        <v>912</v>
      </c>
      <c r="E606" s="40">
        <v>4</v>
      </c>
      <c r="F606" s="60">
        <v>45874</v>
      </c>
      <c r="G606" s="70" t="s">
        <v>29</v>
      </c>
      <c r="H606" s="28">
        <v>2025</v>
      </c>
      <c r="I606">
        <v>228</v>
      </c>
    </row>
    <row r="607" spans="1:9" hidden="1">
      <c r="A607" s="172">
        <v>8664</v>
      </c>
      <c r="B607" s="40" t="s">
        <v>218</v>
      </c>
      <c r="C607" s="35" t="s">
        <v>375</v>
      </c>
      <c r="D607" s="36">
        <f>E607*I607</f>
        <v>684</v>
      </c>
      <c r="E607" s="40">
        <v>3</v>
      </c>
      <c r="F607" s="60">
        <v>45874</v>
      </c>
      <c r="G607" s="70" t="s">
        <v>29</v>
      </c>
      <c r="H607" s="28">
        <v>2025</v>
      </c>
      <c r="I607">
        <v>228</v>
      </c>
    </row>
    <row r="608" spans="1:9" hidden="1">
      <c r="A608" s="172">
        <v>8664</v>
      </c>
      <c r="B608" s="40" t="s">
        <v>124</v>
      </c>
      <c r="C608" s="34" t="s">
        <v>253</v>
      </c>
      <c r="D608" s="36">
        <f>E608*I608</f>
        <v>2736</v>
      </c>
      <c r="E608" s="40">
        <v>12</v>
      </c>
      <c r="F608" s="60">
        <v>45874</v>
      </c>
      <c r="G608" s="70" t="s">
        <v>29</v>
      </c>
      <c r="H608" s="28">
        <v>2025</v>
      </c>
      <c r="I608">
        <v>228</v>
      </c>
    </row>
    <row r="609" spans="1:9" hidden="1">
      <c r="A609" s="172">
        <v>8664</v>
      </c>
      <c r="B609" s="40" t="s">
        <v>125</v>
      </c>
      <c r="C609" s="34" t="s">
        <v>253</v>
      </c>
      <c r="D609" s="36">
        <f t="shared" ref="D609:D611" si="31">E609*I609</f>
        <v>1140</v>
      </c>
      <c r="E609" s="40">
        <v>5</v>
      </c>
      <c r="F609" s="60">
        <v>45874</v>
      </c>
      <c r="G609" s="70" t="s">
        <v>29</v>
      </c>
      <c r="H609" s="28">
        <v>2025</v>
      </c>
      <c r="I609">
        <v>228</v>
      </c>
    </row>
    <row r="610" spans="1:9" hidden="1">
      <c r="A610" s="172">
        <v>8664</v>
      </c>
      <c r="B610" s="40" t="s">
        <v>126</v>
      </c>
      <c r="C610" s="34" t="s">
        <v>253</v>
      </c>
      <c r="D610" s="36">
        <f t="shared" si="31"/>
        <v>2280</v>
      </c>
      <c r="E610" s="40">
        <v>10</v>
      </c>
      <c r="F610" s="60">
        <v>45874</v>
      </c>
      <c r="G610" s="70" t="s">
        <v>29</v>
      </c>
      <c r="H610" s="28">
        <v>2025</v>
      </c>
      <c r="I610">
        <v>228</v>
      </c>
    </row>
    <row r="611" spans="1:9" hidden="1">
      <c r="A611" s="172">
        <v>8664</v>
      </c>
      <c r="B611" s="40" t="s">
        <v>187</v>
      </c>
      <c r="C611" s="34" t="s">
        <v>341</v>
      </c>
      <c r="D611" s="36">
        <f t="shared" si="31"/>
        <v>684</v>
      </c>
      <c r="E611" s="40">
        <v>3</v>
      </c>
      <c r="F611" s="67">
        <v>45874</v>
      </c>
      <c r="G611" s="70" t="s">
        <v>29</v>
      </c>
      <c r="H611" s="28">
        <v>2025</v>
      </c>
      <c r="I611">
        <v>228</v>
      </c>
    </row>
    <row r="612" spans="1:9" hidden="1">
      <c r="A612" s="171">
        <v>8665</v>
      </c>
      <c r="B612" s="40" t="s">
        <v>92</v>
      </c>
      <c r="C612" s="34" t="s">
        <v>253</v>
      </c>
      <c r="D612" s="36">
        <f>E612*I612</f>
        <v>2736</v>
      </c>
      <c r="E612" s="40">
        <v>12</v>
      </c>
      <c r="F612" s="67">
        <v>46044</v>
      </c>
      <c r="G612" s="70" t="s">
        <v>29</v>
      </c>
      <c r="H612" s="28">
        <v>2025</v>
      </c>
      <c r="I612">
        <v>228</v>
      </c>
    </row>
    <row r="613" spans="1:9" hidden="1">
      <c r="A613" s="171">
        <v>8665</v>
      </c>
      <c r="B613" s="40" t="s">
        <v>389</v>
      </c>
      <c r="C613" s="34" t="s">
        <v>253</v>
      </c>
      <c r="D613" s="36">
        <f>E613*I613</f>
        <v>912</v>
      </c>
      <c r="E613" s="40">
        <v>4</v>
      </c>
      <c r="F613" s="67">
        <v>46044</v>
      </c>
      <c r="G613" s="70" t="s">
        <v>29</v>
      </c>
      <c r="H613" s="28">
        <v>2025</v>
      </c>
      <c r="I613">
        <v>228</v>
      </c>
    </row>
    <row r="614" spans="1:9" hidden="1">
      <c r="A614" s="171">
        <v>8665</v>
      </c>
      <c r="B614" s="40" t="s">
        <v>166</v>
      </c>
      <c r="C614" s="34" t="s">
        <v>293</v>
      </c>
      <c r="D614" s="36">
        <f t="shared" ref="D614:D619" si="32">E614*I614</f>
        <v>912</v>
      </c>
      <c r="E614" s="40">
        <v>4</v>
      </c>
      <c r="F614" s="67">
        <v>46044</v>
      </c>
      <c r="G614" s="70" t="s">
        <v>29</v>
      </c>
      <c r="H614" s="28">
        <v>2025</v>
      </c>
      <c r="I614">
        <v>228</v>
      </c>
    </row>
    <row r="615" spans="1:9" hidden="1">
      <c r="A615" s="171">
        <v>8665</v>
      </c>
      <c r="B615" s="40" t="s">
        <v>390</v>
      </c>
      <c r="C615" s="34" t="s">
        <v>375</v>
      </c>
      <c r="D615" s="36">
        <f t="shared" si="32"/>
        <v>1140</v>
      </c>
      <c r="E615" s="40">
        <v>5</v>
      </c>
      <c r="F615" s="67">
        <v>46044</v>
      </c>
      <c r="G615" s="70" t="s">
        <v>29</v>
      </c>
      <c r="H615" s="28">
        <v>2025</v>
      </c>
      <c r="I615">
        <v>228</v>
      </c>
    </row>
    <row r="616" spans="1:9" hidden="1">
      <c r="A616" s="171">
        <v>8665</v>
      </c>
      <c r="B616" s="40" t="s">
        <v>209</v>
      </c>
      <c r="C616" s="34" t="s">
        <v>383</v>
      </c>
      <c r="D616" s="36">
        <f t="shared" si="32"/>
        <v>3648</v>
      </c>
      <c r="E616" s="40">
        <v>16</v>
      </c>
      <c r="F616" s="67">
        <v>46044</v>
      </c>
      <c r="G616" s="70" t="s">
        <v>29</v>
      </c>
      <c r="H616" s="28">
        <v>2025</v>
      </c>
      <c r="I616">
        <v>228</v>
      </c>
    </row>
    <row r="617" spans="1:9" hidden="1">
      <c r="A617" s="171">
        <v>8665</v>
      </c>
      <c r="B617" s="40" t="s">
        <v>213</v>
      </c>
      <c r="C617" s="34" t="s">
        <v>383</v>
      </c>
      <c r="D617" s="36">
        <f t="shared" si="32"/>
        <v>1368</v>
      </c>
      <c r="E617" s="40">
        <v>6</v>
      </c>
      <c r="F617" s="67">
        <v>46044</v>
      </c>
      <c r="G617" s="70" t="s">
        <v>29</v>
      </c>
      <c r="H617" s="28">
        <v>2025</v>
      </c>
      <c r="I617">
        <v>228</v>
      </c>
    </row>
    <row r="618" spans="1:9" hidden="1">
      <c r="A618" s="171">
        <v>8666</v>
      </c>
      <c r="B618" s="40" t="s">
        <v>91</v>
      </c>
      <c r="C618" s="34" t="s">
        <v>253</v>
      </c>
      <c r="D618" s="36">
        <f t="shared" si="32"/>
        <v>3192</v>
      </c>
      <c r="E618" s="40">
        <v>14</v>
      </c>
      <c r="F618" s="67">
        <v>46048</v>
      </c>
      <c r="G618" s="70" t="s">
        <v>29</v>
      </c>
      <c r="H618" s="28">
        <v>2025</v>
      </c>
      <c r="I618">
        <v>228</v>
      </c>
    </row>
    <row r="619" spans="1:9" hidden="1">
      <c r="A619" s="171">
        <v>8666</v>
      </c>
      <c r="B619" s="40" t="s">
        <v>180</v>
      </c>
      <c r="C619" s="34" t="s">
        <v>253</v>
      </c>
      <c r="D619" s="36">
        <f t="shared" si="32"/>
        <v>5016</v>
      </c>
      <c r="E619" s="40">
        <v>22</v>
      </c>
      <c r="F619" s="67">
        <v>46048</v>
      </c>
      <c r="G619" s="70" t="s">
        <v>29</v>
      </c>
      <c r="H619" s="28">
        <v>2025</v>
      </c>
      <c r="I619">
        <v>228</v>
      </c>
    </row>
    <row r="620" spans="1:9" hidden="1">
      <c r="A620" s="171">
        <v>8667</v>
      </c>
      <c r="D620" s="36"/>
      <c r="F620" s="68"/>
      <c r="I620">
        <v>228</v>
      </c>
    </row>
    <row r="621" spans="1:9" hidden="1">
      <c r="A621" s="171"/>
      <c r="D621" s="36"/>
      <c r="F621" s="68"/>
      <c r="I621">
        <v>228</v>
      </c>
    </row>
    <row r="622" spans="1:9" hidden="1">
      <c r="A622" s="171"/>
      <c r="D622" s="36"/>
      <c r="F622" s="68"/>
      <c r="I622">
        <v>228</v>
      </c>
    </row>
    <row r="623" spans="1:9" hidden="1">
      <c r="A623" s="171"/>
      <c r="D623" s="36"/>
      <c r="F623" s="68"/>
      <c r="I623">
        <v>228</v>
      </c>
    </row>
    <row r="624" spans="1:9" hidden="1">
      <c r="A624" s="171"/>
      <c r="D624" s="36"/>
      <c r="F624" s="68"/>
      <c r="I624">
        <v>228</v>
      </c>
    </row>
    <row r="625" spans="1:9" hidden="1">
      <c r="A625" s="171"/>
      <c r="F625" s="68"/>
      <c r="I625">
        <v>228</v>
      </c>
    </row>
    <row r="626" spans="1:9" hidden="1">
      <c r="A626" s="171"/>
      <c r="F626" s="68"/>
      <c r="I626">
        <v>228</v>
      </c>
    </row>
    <row r="627" spans="1:9" hidden="1">
      <c r="A627" s="171"/>
      <c r="F627" s="68"/>
      <c r="I627">
        <v>228</v>
      </c>
    </row>
    <row r="628" spans="1:9" hidden="1">
      <c r="A628" s="171"/>
      <c r="F628" s="68"/>
      <c r="I628">
        <v>228</v>
      </c>
    </row>
    <row r="629" spans="1:9" hidden="1">
      <c r="A629" s="171"/>
      <c r="F629" s="68"/>
      <c r="I629">
        <v>228</v>
      </c>
    </row>
    <row r="630" spans="1:9" hidden="1">
      <c r="A630" s="171"/>
      <c r="F630" s="68"/>
      <c r="I630">
        <v>228</v>
      </c>
    </row>
    <row r="631" spans="1:9" hidden="1">
      <c r="A631" s="171"/>
      <c r="F631" s="68"/>
      <c r="I631">
        <v>228</v>
      </c>
    </row>
    <row r="632" spans="1:9" hidden="1">
      <c r="A632" s="171"/>
      <c r="F632" s="68"/>
      <c r="I632">
        <v>228</v>
      </c>
    </row>
    <row r="633" spans="1:9" hidden="1">
      <c r="A633" s="171"/>
      <c r="F633" s="68"/>
      <c r="I633">
        <v>228</v>
      </c>
    </row>
    <row r="634" spans="1:9">
      <c r="A634" s="171">
        <v>8667</v>
      </c>
      <c r="B634" s="40" t="s">
        <v>391</v>
      </c>
      <c r="C634" s="34" t="s">
        <v>253</v>
      </c>
      <c r="D634" s="36">
        <f t="shared" ref="D634:D651" si="33">E634*I634</f>
        <v>4104</v>
      </c>
      <c r="E634" s="40">
        <v>18</v>
      </c>
      <c r="F634" s="183"/>
      <c r="G634" s="26" t="s">
        <v>135</v>
      </c>
      <c r="H634" s="130">
        <v>2025</v>
      </c>
      <c r="I634" s="88">
        <v>228</v>
      </c>
    </row>
    <row r="635" spans="1:9">
      <c r="A635" s="171">
        <v>8667</v>
      </c>
      <c r="B635" s="40" t="s">
        <v>149</v>
      </c>
      <c r="C635" s="34" t="s">
        <v>294</v>
      </c>
      <c r="D635" s="36">
        <f t="shared" si="33"/>
        <v>4560</v>
      </c>
      <c r="E635" s="40">
        <v>20</v>
      </c>
      <c r="F635" s="183"/>
      <c r="G635" s="26" t="s">
        <v>135</v>
      </c>
      <c r="H635" s="130">
        <v>2025</v>
      </c>
      <c r="I635" s="88">
        <v>228</v>
      </c>
    </row>
    <row r="636" spans="1:9">
      <c r="A636" s="171">
        <v>8667</v>
      </c>
      <c r="B636" s="40" t="s">
        <v>148</v>
      </c>
      <c r="C636" s="34" t="s">
        <v>294</v>
      </c>
      <c r="D636" s="36">
        <f t="shared" si="33"/>
        <v>684</v>
      </c>
      <c r="E636" s="40">
        <v>3</v>
      </c>
      <c r="F636" s="183"/>
      <c r="G636" s="26" t="s">
        <v>135</v>
      </c>
      <c r="H636" s="130">
        <v>2025</v>
      </c>
      <c r="I636" s="88">
        <v>228</v>
      </c>
    </row>
    <row r="637" spans="1:9">
      <c r="A637" s="171">
        <v>8667</v>
      </c>
      <c r="B637" s="40" t="s">
        <v>145</v>
      </c>
      <c r="C637" s="34" t="s">
        <v>294</v>
      </c>
      <c r="D637" s="36">
        <f t="shared" si="33"/>
        <v>684</v>
      </c>
      <c r="E637" s="40">
        <v>3</v>
      </c>
      <c r="F637" s="183"/>
      <c r="G637" s="26" t="s">
        <v>135</v>
      </c>
      <c r="H637" s="130">
        <v>2025</v>
      </c>
      <c r="I637" s="88">
        <v>228</v>
      </c>
    </row>
    <row r="638" spans="1:9">
      <c r="A638" s="171">
        <v>8668</v>
      </c>
      <c r="B638" s="40" t="s">
        <v>89</v>
      </c>
      <c r="C638" s="34" t="s">
        <v>253</v>
      </c>
      <c r="D638" s="36">
        <f t="shared" si="33"/>
        <v>2736</v>
      </c>
      <c r="E638" s="40">
        <v>12</v>
      </c>
      <c r="F638" s="183"/>
      <c r="G638" s="26" t="s">
        <v>135</v>
      </c>
      <c r="H638" s="130">
        <v>2025</v>
      </c>
      <c r="I638" s="88">
        <v>228</v>
      </c>
    </row>
    <row r="639" spans="1:9">
      <c r="A639" s="171">
        <v>8668</v>
      </c>
      <c r="B639" s="40" t="s">
        <v>134</v>
      </c>
      <c r="C639" s="34" t="s">
        <v>294</v>
      </c>
      <c r="D639" s="36">
        <f t="shared" si="33"/>
        <v>912</v>
      </c>
      <c r="E639" s="40">
        <v>4</v>
      </c>
      <c r="F639" s="183"/>
      <c r="G639" s="26" t="s">
        <v>135</v>
      </c>
      <c r="H639" s="130">
        <v>2025</v>
      </c>
      <c r="I639" s="88">
        <v>228</v>
      </c>
    </row>
    <row r="640" spans="1:9">
      <c r="A640" s="171">
        <v>8668</v>
      </c>
      <c r="B640" s="40" t="s">
        <v>188</v>
      </c>
      <c r="C640" s="34" t="s">
        <v>341</v>
      </c>
      <c r="D640" s="36">
        <f t="shared" si="33"/>
        <v>1140</v>
      </c>
      <c r="E640" s="40">
        <v>5</v>
      </c>
      <c r="F640" s="183"/>
      <c r="G640" s="26" t="s">
        <v>135</v>
      </c>
      <c r="H640" s="130">
        <v>2025</v>
      </c>
      <c r="I640" s="88">
        <v>228</v>
      </c>
    </row>
    <row r="641" spans="1:9">
      <c r="A641" s="171">
        <v>8668</v>
      </c>
      <c r="B641" s="40" t="s">
        <v>266</v>
      </c>
      <c r="C641" s="34" t="s">
        <v>341</v>
      </c>
      <c r="D641" s="36">
        <f t="shared" si="33"/>
        <v>1824</v>
      </c>
      <c r="E641" s="40">
        <v>8</v>
      </c>
      <c r="F641" s="183"/>
      <c r="G641" s="26" t="s">
        <v>135</v>
      </c>
      <c r="H641" s="130">
        <v>2025</v>
      </c>
      <c r="I641" s="88">
        <v>228</v>
      </c>
    </row>
    <row r="642" spans="1:9">
      <c r="A642" s="171">
        <v>8668</v>
      </c>
      <c r="B642" s="40" t="s">
        <v>206</v>
      </c>
      <c r="C642" s="34" t="s">
        <v>375</v>
      </c>
      <c r="D642" s="36">
        <f t="shared" si="33"/>
        <v>912</v>
      </c>
      <c r="E642" s="40">
        <v>4</v>
      </c>
      <c r="F642" s="183"/>
      <c r="G642" s="26" t="s">
        <v>135</v>
      </c>
      <c r="H642" s="130">
        <v>2025</v>
      </c>
      <c r="I642" s="88">
        <v>228</v>
      </c>
    </row>
    <row r="643" spans="1:9">
      <c r="A643" s="171">
        <v>8668</v>
      </c>
      <c r="B643" s="40" t="s">
        <v>392</v>
      </c>
      <c r="C643" s="34" t="s">
        <v>293</v>
      </c>
      <c r="D643" s="36">
        <f t="shared" si="33"/>
        <v>2280</v>
      </c>
      <c r="E643" s="40">
        <v>10</v>
      </c>
      <c r="F643" s="183"/>
      <c r="G643" s="26" t="s">
        <v>135</v>
      </c>
      <c r="H643" s="130">
        <v>2025</v>
      </c>
      <c r="I643" s="88">
        <v>228</v>
      </c>
    </row>
    <row r="644" spans="1:9">
      <c r="A644" s="171">
        <v>8668</v>
      </c>
      <c r="B644" s="40" t="s">
        <v>185</v>
      </c>
      <c r="C644" s="34" t="s">
        <v>341</v>
      </c>
      <c r="D644" s="36">
        <f t="shared" si="33"/>
        <v>1596</v>
      </c>
      <c r="E644" s="40">
        <v>7</v>
      </c>
      <c r="F644" s="183"/>
      <c r="G644" s="26" t="s">
        <v>135</v>
      </c>
      <c r="H644" s="130">
        <v>2025</v>
      </c>
      <c r="I644" s="88">
        <v>228</v>
      </c>
    </row>
    <row r="645" spans="1:9">
      <c r="A645" s="171">
        <v>8668</v>
      </c>
      <c r="B645" s="40" t="s">
        <v>393</v>
      </c>
      <c r="C645" s="34" t="s">
        <v>294</v>
      </c>
      <c r="D645" s="36">
        <f t="shared" si="33"/>
        <v>912</v>
      </c>
      <c r="E645" s="40">
        <v>4</v>
      </c>
      <c r="F645" s="183"/>
      <c r="G645" s="26" t="s">
        <v>135</v>
      </c>
      <c r="H645" s="130">
        <v>2025</v>
      </c>
      <c r="I645" s="88">
        <v>228</v>
      </c>
    </row>
    <row r="646" spans="1:9">
      <c r="A646" s="171">
        <v>8668</v>
      </c>
      <c r="B646" s="40" t="s">
        <v>169</v>
      </c>
      <c r="C646" s="34" t="s">
        <v>293</v>
      </c>
      <c r="D646" s="36">
        <f t="shared" si="33"/>
        <v>912</v>
      </c>
      <c r="E646" s="40">
        <v>4</v>
      </c>
      <c r="F646" s="183"/>
      <c r="G646" s="47" t="s">
        <v>135</v>
      </c>
      <c r="H646" s="189">
        <v>2025</v>
      </c>
      <c r="I646" s="88">
        <v>228</v>
      </c>
    </row>
    <row r="647" spans="1:9">
      <c r="A647" s="151">
        <v>8670</v>
      </c>
      <c r="B647" s="105" t="s">
        <v>34</v>
      </c>
      <c r="C647" s="34" t="s">
        <v>248</v>
      </c>
      <c r="D647" s="36">
        <f t="shared" si="33"/>
        <v>6224</v>
      </c>
      <c r="E647" s="40">
        <v>8</v>
      </c>
      <c r="F647" s="185"/>
      <c r="G647" s="70" t="s">
        <v>135</v>
      </c>
      <c r="H647" s="130">
        <v>2025</v>
      </c>
      <c r="I647" s="88">
        <v>778</v>
      </c>
    </row>
    <row r="648" spans="1:9">
      <c r="A648" s="151">
        <v>8670</v>
      </c>
      <c r="B648" s="105" t="s">
        <v>36</v>
      </c>
      <c r="C648" s="34" t="s">
        <v>248</v>
      </c>
      <c r="D648" s="36">
        <f t="shared" si="33"/>
        <v>6224</v>
      </c>
      <c r="E648" s="40">
        <v>8</v>
      </c>
      <c r="F648" s="185"/>
      <c r="G648" s="70" t="s">
        <v>135</v>
      </c>
      <c r="H648" s="130">
        <v>2025</v>
      </c>
      <c r="I648" s="88">
        <v>778</v>
      </c>
    </row>
    <row r="649" spans="1:9">
      <c r="A649" s="151">
        <v>8670</v>
      </c>
      <c r="B649" s="105" t="s">
        <v>38</v>
      </c>
      <c r="C649" s="34" t="s">
        <v>248</v>
      </c>
      <c r="D649" s="36">
        <f t="shared" si="33"/>
        <v>6224</v>
      </c>
      <c r="E649" s="40">
        <v>8</v>
      </c>
      <c r="F649" s="185"/>
      <c r="G649" s="70" t="s">
        <v>135</v>
      </c>
      <c r="H649" s="130">
        <v>2025</v>
      </c>
      <c r="I649" s="88">
        <v>778</v>
      </c>
    </row>
    <row r="650" spans="1:9">
      <c r="A650" s="151">
        <v>8670</v>
      </c>
      <c r="B650" s="105" t="s">
        <v>394</v>
      </c>
      <c r="C650" s="34" t="s">
        <v>248</v>
      </c>
      <c r="D650" s="36">
        <f t="shared" si="33"/>
        <v>6224</v>
      </c>
      <c r="E650" s="40">
        <v>8</v>
      </c>
      <c r="F650" s="185"/>
      <c r="G650" s="70" t="s">
        <v>135</v>
      </c>
      <c r="H650" s="130">
        <v>2025</v>
      </c>
      <c r="I650" s="88">
        <v>778</v>
      </c>
    </row>
    <row r="651" spans="1:9">
      <c r="A651" s="151">
        <v>8670</v>
      </c>
      <c r="B651" s="184" t="s">
        <v>395</v>
      </c>
      <c r="C651" s="35" t="s">
        <v>248</v>
      </c>
      <c r="D651" s="49">
        <f t="shared" si="33"/>
        <v>7780</v>
      </c>
      <c r="E651" s="41">
        <v>10</v>
      </c>
      <c r="F651" s="186"/>
      <c r="G651" s="70" t="s">
        <v>135</v>
      </c>
      <c r="H651" s="130">
        <v>2025</v>
      </c>
      <c r="I651" s="88">
        <v>778</v>
      </c>
    </row>
    <row r="652" spans="1:9">
      <c r="A652" s="173">
        <v>8669</v>
      </c>
      <c r="B652" s="34" t="s">
        <v>396</v>
      </c>
      <c r="C652" s="34" t="s">
        <v>397</v>
      </c>
      <c r="D652" s="34">
        <v>1945</v>
      </c>
      <c r="E652" s="34">
        <v>5</v>
      </c>
      <c r="F652" s="185"/>
      <c r="G652" s="70" t="s">
        <v>135</v>
      </c>
      <c r="H652" s="130">
        <v>2025</v>
      </c>
      <c r="I652" s="88"/>
    </row>
    <row r="653" spans="1:9">
      <c r="A653" s="173">
        <v>8669</v>
      </c>
      <c r="B653" s="34" t="s">
        <v>398</v>
      </c>
      <c r="C653" s="34" t="s">
        <v>399</v>
      </c>
      <c r="D653" s="34">
        <v>778</v>
      </c>
      <c r="E653" s="34">
        <v>2</v>
      </c>
      <c r="F653" s="185"/>
      <c r="G653" s="70" t="s">
        <v>135</v>
      </c>
      <c r="H653" s="13">
        <v>2025</v>
      </c>
      <c r="I653" s="190"/>
    </row>
    <row r="654" spans="1:9">
      <c r="A654" s="173">
        <v>8669</v>
      </c>
      <c r="B654" s="34" t="s">
        <v>400</v>
      </c>
      <c r="C654" s="34" t="s">
        <v>399</v>
      </c>
      <c r="D654" s="34">
        <v>389</v>
      </c>
      <c r="E654" s="34">
        <v>1</v>
      </c>
      <c r="F654" s="185"/>
      <c r="G654" s="70" t="s">
        <v>135</v>
      </c>
      <c r="H654" s="13">
        <v>2025</v>
      </c>
      <c r="I654" s="88"/>
    </row>
    <row r="655" spans="1:9">
      <c r="A655" s="173">
        <v>8669</v>
      </c>
      <c r="B655" s="34" t="s">
        <v>401</v>
      </c>
      <c r="C655" s="34" t="s">
        <v>399</v>
      </c>
      <c r="D655" s="34">
        <v>389</v>
      </c>
      <c r="E655" s="34">
        <v>1</v>
      </c>
      <c r="F655" s="185"/>
      <c r="G655" s="70" t="s">
        <v>135</v>
      </c>
      <c r="H655" s="13">
        <v>2025</v>
      </c>
      <c r="I655" s="88"/>
    </row>
    <row r="656" spans="1:9">
      <c r="A656" s="173">
        <v>8669</v>
      </c>
      <c r="B656" s="34" t="s">
        <v>402</v>
      </c>
      <c r="C656" s="34" t="s">
        <v>399</v>
      </c>
      <c r="D656" s="34">
        <v>778</v>
      </c>
      <c r="E656" s="34">
        <v>2</v>
      </c>
      <c r="F656" s="185"/>
      <c r="G656" s="70" t="s">
        <v>135</v>
      </c>
      <c r="H656" s="13">
        <v>2025</v>
      </c>
      <c r="I656" s="88"/>
    </row>
    <row r="657" spans="1:9">
      <c r="A657" s="173">
        <v>8669</v>
      </c>
      <c r="B657" s="34" t="s">
        <v>403</v>
      </c>
      <c r="C657" s="34" t="s">
        <v>399</v>
      </c>
      <c r="D657" s="34">
        <v>778</v>
      </c>
      <c r="E657" s="34">
        <v>2</v>
      </c>
      <c r="F657" s="185"/>
      <c r="G657" s="70" t="s">
        <v>135</v>
      </c>
      <c r="H657" s="13">
        <v>2025</v>
      </c>
      <c r="I657" s="88"/>
    </row>
    <row r="658" spans="1:9">
      <c r="A658" s="173">
        <v>8669</v>
      </c>
      <c r="B658" s="34" t="s">
        <v>404</v>
      </c>
      <c r="C658" s="34" t="s">
        <v>399</v>
      </c>
      <c r="D658" s="34">
        <v>1556</v>
      </c>
      <c r="E658" s="34">
        <v>4</v>
      </c>
      <c r="F658" s="185"/>
      <c r="G658" s="70" t="s">
        <v>135</v>
      </c>
      <c r="H658" s="13">
        <v>2025</v>
      </c>
      <c r="I658" s="88"/>
    </row>
    <row r="659" spans="1:9">
      <c r="A659" s="173">
        <v>8669</v>
      </c>
      <c r="B659" s="34" t="s">
        <v>405</v>
      </c>
      <c r="C659" s="34" t="s">
        <v>399</v>
      </c>
      <c r="D659" s="34">
        <v>3018</v>
      </c>
      <c r="E659" s="34">
        <v>12</v>
      </c>
      <c r="F659" s="185"/>
      <c r="G659" s="70" t="s">
        <v>135</v>
      </c>
      <c r="H659" s="13">
        <v>2025</v>
      </c>
      <c r="I659" s="88"/>
    </row>
    <row r="660" spans="1:9">
      <c r="A660" s="173">
        <v>8669</v>
      </c>
      <c r="B660" s="34" t="s">
        <v>406</v>
      </c>
      <c r="C660" s="34" t="s">
        <v>399</v>
      </c>
      <c r="D660" s="34">
        <v>389</v>
      </c>
      <c r="E660" s="34">
        <v>1</v>
      </c>
      <c r="F660" s="185"/>
      <c r="G660" s="70" t="s">
        <v>135</v>
      </c>
      <c r="H660" s="13">
        <v>2025</v>
      </c>
      <c r="I660" s="88"/>
    </row>
    <row r="661" spans="1:9" ht="101.25">
      <c r="A661" s="171">
        <v>8671</v>
      </c>
      <c r="B661" s="182" t="s">
        <v>407</v>
      </c>
      <c r="C661" s="72"/>
      <c r="D661" s="88">
        <f>I661*E661</f>
        <v>6384</v>
      </c>
      <c r="E661" s="88">
        <v>28</v>
      </c>
      <c r="F661" s="187"/>
      <c r="G661" s="70" t="s">
        <v>135</v>
      </c>
      <c r="H661" s="13">
        <v>2026</v>
      </c>
      <c r="I661" s="88">
        <v>228</v>
      </c>
    </row>
    <row r="662" spans="1:9">
      <c r="A662" s="194">
        <v>8672</v>
      </c>
      <c r="B662" s="192" t="s">
        <v>408</v>
      </c>
      <c r="C662" s="191"/>
      <c r="D662" s="191">
        <f>I662*E662</f>
        <v>20064</v>
      </c>
      <c r="E662" s="191">
        <v>88</v>
      </c>
      <c r="F662" s="196"/>
      <c r="G662" s="191" t="s">
        <v>135</v>
      </c>
      <c r="H662" s="191">
        <v>2026</v>
      </c>
      <c r="I662" s="191">
        <v>228</v>
      </c>
    </row>
    <row r="663" spans="1:9">
      <c r="A663" s="195"/>
      <c r="B663" s="193"/>
      <c r="C663" s="191"/>
      <c r="D663" s="191"/>
      <c r="E663" s="191"/>
      <c r="F663" s="196"/>
      <c r="G663" s="191"/>
      <c r="H663" s="191"/>
      <c r="I663" s="191"/>
    </row>
    <row r="664" spans="1:9">
      <c r="A664" s="195"/>
      <c r="B664" s="193"/>
      <c r="C664" s="191"/>
      <c r="D664" s="191"/>
      <c r="E664" s="191"/>
      <c r="F664" s="196"/>
      <c r="G664" s="191"/>
      <c r="H664" s="191"/>
      <c r="I664" s="191"/>
    </row>
    <row r="665" spans="1:9">
      <c r="A665" s="195"/>
      <c r="B665" s="193"/>
      <c r="C665" s="191"/>
      <c r="D665" s="191"/>
      <c r="E665" s="191"/>
      <c r="F665" s="196"/>
      <c r="G665" s="191"/>
      <c r="H665" s="191"/>
      <c r="I665" s="191"/>
    </row>
    <row r="666" spans="1:9">
      <c r="A666" s="195"/>
      <c r="B666" s="193"/>
      <c r="C666" s="191"/>
      <c r="D666" s="191"/>
      <c r="E666" s="191"/>
      <c r="F666" s="196"/>
      <c r="G666" s="191"/>
      <c r="H666" s="191"/>
      <c r="I666" s="191"/>
    </row>
    <row r="667" spans="1:9">
      <c r="A667" s="195"/>
      <c r="B667" s="193"/>
      <c r="C667" s="191"/>
      <c r="D667" s="191"/>
      <c r="E667" s="191"/>
      <c r="F667" s="196"/>
      <c r="G667" s="191"/>
      <c r="H667" s="191"/>
      <c r="I667" s="191"/>
    </row>
    <row r="668" spans="1:9">
      <c r="A668" s="195"/>
      <c r="B668" s="193"/>
      <c r="C668" s="191"/>
      <c r="D668" s="191"/>
      <c r="E668" s="191"/>
      <c r="F668" s="196"/>
      <c r="G668" s="191"/>
      <c r="H668" s="191"/>
      <c r="I668" s="191"/>
    </row>
    <row r="669" spans="1:9">
      <c r="A669" s="195"/>
      <c r="B669" s="193"/>
      <c r="C669" s="191"/>
      <c r="D669" s="191"/>
      <c r="E669" s="191"/>
      <c r="F669" s="196"/>
      <c r="G669" s="191"/>
      <c r="H669" s="191"/>
      <c r="I669" s="191"/>
    </row>
    <row r="670" spans="1:9">
      <c r="A670" s="195"/>
      <c r="B670" s="193"/>
      <c r="C670" s="191"/>
      <c r="D670" s="191"/>
      <c r="E670" s="191"/>
      <c r="F670" s="196"/>
      <c r="G670" s="191"/>
      <c r="H670" s="191"/>
      <c r="I670" s="191"/>
    </row>
    <row r="671" spans="1:9">
      <c r="A671"/>
      <c r="F671" s="68"/>
    </row>
    <row r="672" spans="1:9">
      <c r="A672"/>
      <c r="F672" s="68"/>
    </row>
    <row r="673" spans="1:6">
      <c r="A673"/>
      <c r="F673" s="68"/>
    </row>
    <row r="674" spans="1:6">
      <c r="A674"/>
      <c r="F674" s="68"/>
    </row>
    <row r="675" spans="1:6">
      <c r="A675"/>
      <c r="F675" s="68"/>
    </row>
    <row r="676" spans="1:6">
      <c r="A676"/>
      <c r="F676" s="68"/>
    </row>
    <row r="677" spans="1:6">
      <c r="A677"/>
      <c r="F677" s="68"/>
    </row>
    <row r="678" spans="1:6">
      <c r="A678"/>
      <c r="F678" s="68"/>
    </row>
    <row r="679" spans="1:6">
      <c r="A679"/>
      <c r="F679" s="68"/>
    </row>
    <row r="680" spans="1:6">
      <c r="A680"/>
      <c r="F680" s="68"/>
    </row>
    <row r="681" spans="1:6">
      <c r="A681"/>
      <c r="F681" s="68"/>
    </row>
    <row r="682" spans="1:6">
      <c r="A682"/>
      <c r="F682" s="68"/>
    </row>
    <row r="683" spans="1:6">
      <c r="A683"/>
      <c r="F683" s="68"/>
    </row>
    <row r="684" spans="1:6">
      <c r="A684"/>
      <c r="F684" s="68"/>
    </row>
    <row r="685" spans="1:6">
      <c r="A685"/>
      <c r="F685" s="68"/>
    </row>
    <row r="686" spans="1:6">
      <c r="A686"/>
      <c r="F686" s="68"/>
    </row>
    <row r="687" spans="1:6">
      <c r="A687"/>
      <c r="F687" s="68"/>
    </row>
    <row r="688" spans="1:6">
      <c r="A688"/>
      <c r="F688" s="68"/>
    </row>
    <row r="689" spans="1:6">
      <c r="A689"/>
      <c r="F689" s="68"/>
    </row>
    <row r="690" spans="1:6">
      <c r="A690"/>
      <c r="F690" s="68"/>
    </row>
    <row r="691" spans="1:6">
      <c r="A691"/>
      <c r="F691" s="68"/>
    </row>
    <row r="692" spans="1:6">
      <c r="A692"/>
      <c r="F692" s="68"/>
    </row>
    <row r="693" spans="1:6">
      <c r="A693"/>
      <c r="F693" s="68"/>
    </row>
    <row r="694" spans="1:6">
      <c r="A694"/>
      <c r="F694" s="68"/>
    </row>
    <row r="695" spans="1:6">
      <c r="A695"/>
      <c r="F695" s="68"/>
    </row>
    <row r="696" spans="1:6">
      <c r="A696"/>
      <c r="F696" s="68"/>
    </row>
    <row r="697" spans="1:6">
      <c r="A697"/>
      <c r="F697" s="68"/>
    </row>
    <row r="698" spans="1:6">
      <c r="A698"/>
      <c r="F698" s="68"/>
    </row>
    <row r="699" spans="1:6">
      <c r="A699"/>
      <c r="F699" s="68"/>
    </row>
    <row r="700" spans="1:6">
      <c r="A700"/>
      <c r="F700" s="68"/>
    </row>
    <row r="701" spans="1:6">
      <c r="A701"/>
      <c r="F701" s="68"/>
    </row>
    <row r="702" spans="1:6">
      <c r="A702"/>
      <c r="F702" s="68"/>
    </row>
    <row r="703" spans="1:6">
      <c r="A703"/>
      <c r="F703" s="68"/>
    </row>
    <row r="704" spans="1:6">
      <c r="A704"/>
      <c r="F704" s="68"/>
    </row>
    <row r="705" spans="1:6">
      <c r="A705"/>
      <c r="F705" s="68"/>
    </row>
    <row r="706" spans="1:6">
      <c r="A706"/>
      <c r="F706" s="68"/>
    </row>
    <row r="707" spans="1:6">
      <c r="A707"/>
      <c r="F707" s="68"/>
    </row>
    <row r="708" spans="1:6">
      <c r="A708"/>
      <c r="F708" s="68"/>
    </row>
    <row r="709" spans="1:6">
      <c r="A709"/>
      <c r="F709" s="68"/>
    </row>
    <row r="710" spans="1:6">
      <c r="A710"/>
      <c r="F710" s="68"/>
    </row>
    <row r="711" spans="1:6">
      <c r="A711"/>
      <c r="F711" s="68"/>
    </row>
    <row r="712" spans="1:6">
      <c r="A712"/>
      <c r="F712" s="68"/>
    </row>
    <row r="713" spans="1:6">
      <c r="A713"/>
      <c r="F713" s="68"/>
    </row>
    <row r="714" spans="1:6">
      <c r="A714"/>
      <c r="F714" s="68"/>
    </row>
    <row r="715" spans="1:6">
      <c r="A715"/>
      <c r="F715" s="68"/>
    </row>
    <row r="716" spans="1:6">
      <c r="A716"/>
      <c r="F716" s="68"/>
    </row>
    <row r="717" spans="1:6">
      <c r="A717"/>
      <c r="F717" s="68"/>
    </row>
    <row r="718" spans="1:6">
      <c r="A718"/>
      <c r="F718" s="68"/>
    </row>
    <row r="719" spans="1:6">
      <c r="A719"/>
      <c r="F719" s="68"/>
    </row>
    <row r="720" spans="1:6">
      <c r="A720"/>
      <c r="F720" s="68"/>
    </row>
    <row r="721" spans="1:6">
      <c r="A721"/>
      <c r="F721" s="68"/>
    </row>
    <row r="722" spans="1:6">
      <c r="A722"/>
      <c r="F722" s="68"/>
    </row>
    <row r="723" spans="1:6">
      <c r="A723"/>
      <c r="F723" s="68"/>
    </row>
    <row r="724" spans="1:6">
      <c r="A724"/>
      <c r="F724" s="68"/>
    </row>
    <row r="725" spans="1:6">
      <c r="A725"/>
      <c r="F725" s="68"/>
    </row>
    <row r="726" spans="1:6">
      <c r="A726"/>
      <c r="F726" s="68"/>
    </row>
    <row r="727" spans="1:6">
      <c r="A727"/>
      <c r="F727" s="68"/>
    </row>
    <row r="728" spans="1:6">
      <c r="A728"/>
      <c r="F728" s="68"/>
    </row>
    <row r="729" spans="1:6">
      <c r="A729"/>
      <c r="F729" s="68"/>
    </row>
    <row r="730" spans="1:6">
      <c r="A730"/>
      <c r="F730" s="68"/>
    </row>
    <row r="731" spans="1:6">
      <c r="A731"/>
      <c r="F731" s="68"/>
    </row>
    <row r="732" spans="1:6">
      <c r="A732"/>
      <c r="F732" s="68"/>
    </row>
    <row r="733" spans="1:6">
      <c r="A733"/>
      <c r="F733" s="68"/>
    </row>
    <row r="734" spans="1:6">
      <c r="A734"/>
      <c r="F734" s="68"/>
    </row>
    <row r="735" spans="1:6">
      <c r="A735"/>
      <c r="F735" s="68"/>
    </row>
    <row r="736" spans="1:6">
      <c r="A736"/>
      <c r="F736" s="68"/>
    </row>
    <row r="737" spans="1:6">
      <c r="A737"/>
      <c r="F737" s="68"/>
    </row>
    <row r="738" spans="1:6">
      <c r="A738"/>
      <c r="F738" s="68"/>
    </row>
    <row r="739" spans="1:6">
      <c r="A739"/>
      <c r="F739" s="68"/>
    </row>
    <row r="740" spans="1:6">
      <c r="A740"/>
      <c r="F740" s="68"/>
    </row>
    <row r="741" spans="1:6">
      <c r="A741"/>
      <c r="F741" s="68"/>
    </row>
    <row r="742" spans="1:6">
      <c r="A742"/>
      <c r="F742" s="68"/>
    </row>
    <row r="743" spans="1:6">
      <c r="A743"/>
      <c r="F743" s="68"/>
    </row>
    <row r="744" spans="1:6">
      <c r="A744"/>
      <c r="F744" s="68"/>
    </row>
    <row r="745" spans="1:6">
      <c r="A745"/>
      <c r="F745" s="68"/>
    </row>
    <row r="746" spans="1:6">
      <c r="A746"/>
      <c r="F746" s="68"/>
    </row>
    <row r="747" spans="1:6">
      <c r="A747"/>
      <c r="F747" s="68"/>
    </row>
    <row r="748" spans="1:6">
      <c r="A748"/>
      <c r="F748" s="68"/>
    </row>
    <row r="749" spans="1:6">
      <c r="A749"/>
      <c r="F749" s="68"/>
    </row>
    <row r="750" spans="1:6">
      <c r="A750"/>
      <c r="F750" s="68"/>
    </row>
    <row r="751" spans="1:6">
      <c r="A751"/>
      <c r="F751" s="68"/>
    </row>
    <row r="752" spans="1:6">
      <c r="A752"/>
      <c r="F752" s="68"/>
    </row>
    <row r="753" spans="1:6">
      <c r="A753"/>
      <c r="F753" s="68"/>
    </row>
    <row r="754" spans="1:6">
      <c r="A754"/>
      <c r="F754" s="68"/>
    </row>
    <row r="755" spans="1:6">
      <c r="A755"/>
      <c r="F755" s="68"/>
    </row>
    <row r="756" spans="1:6">
      <c r="A756"/>
      <c r="F756" s="68"/>
    </row>
    <row r="757" spans="1:6">
      <c r="A757"/>
      <c r="F757" s="68"/>
    </row>
    <row r="758" spans="1:6">
      <c r="A758"/>
      <c r="F758" s="68"/>
    </row>
    <row r="759" spans="1:6">
      <c r="A759"/>
      <c r="F759" s="68"/>
    </row>
    <row r="760" spans="1:6">
      <c r="A760"/>
      <c r="F760" s="68"/>
    </row>
    <row r="761" spans="1:6">
      <c r="A761"/>
      <c r="F761" s="68"/>
    </row>
    <row r="762" spans="1:6">
      <c r="A762"/>
      <c r="F762" s="68"/>
    </row>
    <row r="763" spans="1:6">
      <c r="A763"/>
      <c r="F763" s="68"/>
    </row>
    <row r="764" spans="1:6">
      <c r="A764"/>
      <c r="F764" s="68"/>
    </row>
    <row r="765" spans="1:6">
      <c r="A765"/>
      <c r="F765" s="68"/>
    </row>
    <row r="766" spans="1:6">
      <c r="A766"/>
      <c r="F766" s="68"/>
    </row>
    <row r="767" spans="1:6">
      <c r="A767"/>
      <c r="F767" s="68"/>
    </row>
    <row r="768" spans="1:6">
      <c r="A768"/>
      <c r="F768" s="68"/>
    </row>
    <row r="769" spans="1:6">
      <c r="A769"/>
      <c r="F769" s="68"/>
    </row>
    <row r="770" spans="1:6">
      <c r="A770"/>
      <c r="F770" s="68"/>
    </row>
    <row r="771" spans="1:6">
      <c r="A771"/>
      <c r="F771" s="68"/>
    </row>
    <row r="772" spans="1:6">
      <c r="A772"/>
      <c r="F772" s="68"/>
    </row>
    <row r="773" spans="1:6">
      <c r="A773"/>
      <c r="F773" s="68"/>
    </row>
    <row r="774" spans="1:6">
      <c r="A774"/>
      <c r="F774" s="68"/>
    </row>
    <row r="775" spans="1:6">
      <c r="A775"/>
      <c r="F775" s="68"/>
    </row>
    <row r="776" spans="1:6">
      <c r="A776"/>
      <c r="F776" s="68"/>
    </row>
    <row r="777" spans="1:6">
      <c r="A777"/>
      <c r="F777" s="68"/>
    </row>
    <row r="778" spans="1:6">
      <c r="A778"/>
      <c r="F778" s="68"/>
    </row>
    <row r="779" spans="1:6">
      <c r="A779"/>
      <c r="F779" s="68"/>
    </row>
    <row r="780" spans="1:6">
      <c r="A780"/>
      <c r="F780" s="68"/>
    </row>
    <row r="781" spans="1:6">
      <c r="A781"/>
      <c r="F781" s="68"/>
    </row>
    <row r="782" spans="1:6">
      <c r="A782"/>
      <c r="F782" s="68"/>
    </row>
    <row r="783" spans="1:6">
      <c r="A783"/>
      <c r="F783" s="68"/>
    </row>
    <row r="784" spans="1:6">
      <c r="A784"/>
      <c r="F784" s="68"/>
    </row>
    <row r="785" spans="1:6">
      <c r="A785"/>
      <c r="F785" s="68"/>
    </row>
    <row r="786" spans="1:6">
      <c r="A786"/>
      <c r="F786" s="68"/>
    </row>
    <row r="787" spans="1:6">
      <c r="A787"/>
      <c r="F787" s="68"/>
    </row>
    <row r="788" spans="1:6">
      <c r="A788"/>
      <c r="F788" s="68"/>
    </row>
    <row r="789" spans="1:6">
      <c r="A789"/>
      <c r="F789" s="68"/>
    </row>
    <row r="790" spans="1:6">
      <c r="A790"/>
      <c r="F790" s="68"/>
    </row>
    <row r="791" spans="1:6">
      <c r="A791"/>
      <c r="F791" s="68"/>
    </row>
    <row r="792" spans="1:6">
      <c r="A792"/>
      <c r="F792" s="68"/>
    </row>
    <row r="793" spans="1:6">
      <c r="A793"/>
      <c r="F793" s="68"/>
    </row>
    <row r="794" spans="1:6">
      <c r="A794"/>
      <c r="F794" s="68"/>
    </row>
    <row r="795" spans="1:6">
      <c r="A795"/>
      <c r="F795" s="68"/>
    </row>
    <row r="796" spans="1:6">
      <c r="A796"/>
      <c r="F796" s="68"/>
    </row>
    <row r="797" spans="1:6">
      <c r="A797"/>
      <c r="F797" s="68"/>
    </row>
    <row r="798" spans="1:6">
      <c r="A798"/>
      <c r="F798" s="68"/>
    </row>
    <row r="799" spans="1:6">
      <c r="A799"/>
      <c r="F799" s="68"/>
    </row>
    <row r="800" spans="1:6">
      <c r="A800"/>
      <c r="F800" s="68"/>
    </row>
    <row r="801" spans="1:6">
      <c r="A801"/>
      <c r="F801" s="68"/>
    </row>
    <row r="802" spans="1:6">
      <c r="A802"/>
      <c r="F802" s="68"/>
    </row>
    <row r="803" spans="1:6">
      <c r="A803"/>
      <c r="F803" s="68"/>
    </row>
    <row r="804" spans="1:6">
      <c r="A804"/>
      <c r="F804" s="68"/>
    </row>
    <row r="805" spans="1:6">
      <c r="A805"/>
      <c r="F805" s="68"/>
    </row>
    <row r="806" spans="1:6">
      <c r="A806"/>
      <c r="F806" s="68"/>
    </row>
    <row r="807" spans="1:6">
      <c r="A807"/>
      <c r="F807" s="68"/>
    </row>
    <row r="808" spans="1:6">
      <c r="A808"/>
      <c r="F808" s="68"/>
    </row>
    <row r="809" spans="1:6">
      <c r="A809"/>
      <c r="F809" s="68"/>
    </row>
    <row r="810" spans="1:6">
      <c r="A810"/>
      <c r="F810" s="68"/>
    </row>
    <row r="811" spans="1:6">
      <c r="A811"/>
      <c r="F811" s="68"/>
    </row>
    <row r="812" spans="1:6">
      <c r="A812"/>
      <c r="F812" s="68"/>
    </row>
    <row r="813" spans="1:6">
      <c r="A813"/>
      <c r="F813" s="68"/>
    </row>
    <row r="814" spans="1:6">
      <c r="A814"/>
      <c r="F814" s="68"/>
    </row>
    <row r="815" spans="1:6">
      <c r="A815"/>
      <c r="F815" s="68"/>
    </row>
    <row r="816" spans="1:6">
      <c r="A816"/>
      <c r="F816" s="68"/>
    </row>
    <row r="817" spans="1:6">
      <c r="A817"/>
      <c r="F817" s="68"/>
    </row>
    <row r="818" spans="1:6">
      <c r="A818"/>
      <c r="F818" s="68"/>
    </row>
    <row r="819" spans="1:6">
      <c r="A819"/>
      <c r="F819" s="68"/>
    </row>
    <row r="820" spans="1:6">
      <c r="A820"/>
      <c r="F820" s="68"/>
    </row>
    <row r="821" spans="1:6">
      <c r="A821"/>
      <c r="F821" s="68"/>
    </row>
    <row r="822" spans="1:6">
      <c r="A822"/>
      <c r="F822" s="68"/>
    </row>
    <row r="823" spans="1:6">
      <c r="A823"/>
      <c r="F823" s="68"/>
    </row>
    <row r="824" spans="1:6">
      <c r="A824"/>
      <c r="F824" s="68"/>
    </row>
    <row r="825" spans="1:6">
      <c r="A825"/>
      <c r="F825" s="68"/>
    </row>
    <row r="826" spans="1:6">
      <c r="A826"/>
      <c r="F826" s="68"/>
    </row>
    <row r="827" spans="1:6">
      <c r="A827"/>
      <c r="F827" s="68"/>
    </row>
    <row r="828" spans="1:6">
      <c r="A828"/>
      <c r="F828" s="68"/>
    </row>
    <row r="829" spans="1:6">
      <c r="A829"/>
      <c r="F829" s="68"/>
    </row>
    <row r="830" spans="1:6">
      <c r="A830"/>
      <c r="F830" s="68"/>
    </row>
    <row r="831" spans="1:6">
      <c r="A831"/>
      <c r="F831" s="68"/>
    </row>
    <row r="832" spans="1:6">
      <c r="A832"/>
      <c r="F832" s="68"/>
    </row>
    <row r="833" spans="1:6">
      <c r="A833"/>
      <c r="F833" s="68"/>
    </row>
    <row r="834" spans="1:6">
      <c r="A834"/>
      <c r="F834" s="68"/>
    </row>
    <row r="835" spans="1:6">
      <c r="A835"/>
      <c r="F835" s="68"/>
    </row>
    <row r="836" spans="1:6">
      <c r="A836"/>
      <c r="F836" s="68"/>
    </row>
    <row r="837" spans="1:6">
      <c r="A837"/>
      <c r="F837" s="68"/>
    </row>
    <row r="838" spans="1:6">
      <c r="A838"/>
      <c r="F838" s="68"/>
    </row>
    <row r="839" spans="1:6">
      <c r="A839"/>
      <c r="F839" s="68"/>
    </row>
    <row r="840" spans="1:6">
      <c r="A840"/>
      <c r="F840" s="68"/>
    </row>
    <row r="841" spans="1:6">
      <c r="A841"/>
      <c r="F841" s="68"/>
    </row>
    <row r="842" spans="1:6">
      <c r="A842"/>
      <c r="F842" s="68"/>
    </row>
    <row r="843" spans="1:6">
      <c r="A843"/>
      <c r="F843" s="68"/>
    </row>
    <row r="844" spans="1:6">
      <c r="A844"/>
      <c r="F844" s="68"/>
    </row>
    <row r="845" spans="1:6">
      <c r="A845"/>
      <c r="F845" s="68"/>
    </row>
    <row r="846" spans="1:6">
      <c r="A846"/>
      <c r="F846" s="68"/>
    </row>
    <row r="847" spans="1:6">
      <c r="A847"/>
      <c r="F847" s="68"/>
    </row>
    <row r="848" spans="1:6">
      <c r="A848"/>
      <c r="F848" s="68"/>
    </row>
    <row r="849" spans="1:6">
      <c r="A849"/>
      <c r="F849" s="68"/>
    </row>
    <row r="850" spans="1:6">
      <c r="A850"/>
      <c r="F850" s="68"/>
    </row>
    <row r="851" spans="1:6">
      <c r="A851" s="114"/>
      <c r="F851" s="115"/>
    </row>
    <row r="852" spans="1:6">
      <c r="D852" s="148">
        <f>SUM(D490:D611)</f>
        <v>405888</v>
      </c>
    </row>
  </sheetData>
  <autoFilter ref="A1:I670" xr:uid="{D127AF15-B806-4E18-8851-45E2CDB0FEE7}">
    <filterColumn colId="2">
      <filters>
        <filter val="Y2"/>
        <filter val="Y3"/>
        <filter val="Y4"/>
        <filter val="Y5"/>
        <filter val="Y6"/>
        <filter val="Y7"/>
        <filter val="Y8"/>
        <filter val="Y9"/>
      </filters>
    </filterColumn>
    <filterColumn colId="6">
      <filters blank="1">
        <filter val="cancelled"/>
        <filter val="No"/>
      </filters>
    </filterColumn>
  </autoFilter>
  <mergeCells count="9">
    <mergeCell ref="I662:I670"/>
    <mergeCell ref="D662:D670"/>
    <mergeCell ref="B662:B670"/>
    <mergeCell ref="C662:C670"/>
    <mergeCell ref="A662:A670"/>
    <mergeCell ref="H662:H670"/>
    <mergeCell ref="G662:G670"/>
    <mergeCell ref="F662:F670"/>
    <mergeCell ref="E662:E670"/>
  </mergeCells>
  <phoneticPr fontId="9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8E2C-8D2C-4E59-8D37-E206429F6AB9}">
  <dimension ref="A2:B5"/>
  <sheetViews>
    <sheetView workbookViewId="0">
      <selection activeCell="A6" sqref="A6"/>
    </sheetView>
  </sheetViews>
  <sheetFormatPr defaultRowHeight="15"/>
  <cols>
    <col min="2" max="2" width="36.5703125" bestFit="1" customWidth="1"/>
  </cols>
  <sheetData>
    <row r="2" spans="1:2" ht="29.25">
      <c r="A2">
        <v>1</v>
      </c>
      <c r="B2" s="138" t="s">
        <v>409</v>
      </c>
    </row>
    <row r="3" spans="1:2" ht="29.25">
      <c r="A3">
        <v>2</v>
      </c>
      <c r="B3" s="138" t="s">
        <v>410</v>
      </c>
    </row>
    <row r="4" spans="1:2" ht="43.5">
      <c r="A4">
        <v>3</v>
      </c>
      <c r="B4" s="138" t="s">
        <v>411</v>
      </c>
    </row>
    <row r="5" spans="1:2">
      <c r="A5">
        <v>4</v>
      </c>
      <c r="B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9A7AB-02D9-427F-ABB0-01AB61859722}">
  <dimension ref="A1:I20"/>
  <sheetViews>
    <sheetView topLeftCell="H1" workbookViewId="0">
      <selection activeCell="S4" sqref="S4:S5"/>
    </sheetView>
  </sheetViews>
  <sheetFormatPr defaultRowHeight="15"/>
  <cols>
    <col min="2" max="2" width="29.28515625" bestFit="1" customWidth="1"/>
    <col min="3" max="3" width="11.42578125" bestFit="1" customWidth="1"/>
    <col min="4" max="4" width="12.85546875" bestFit="1" customWidth="1"/>
    <col min="5" max="5" width="60.42578125" bestFit="1" customWidth="1"/>
    <col min="6" max="6" width="45.42578125" customWidth="1"/>
    <col min="9" max="9" width="12.85546875" bestFit="1" customWidth="1"/>
  </cols>
  <sheetData>
    <row r="1" spans="1:9">
      <c r="A1" s="88"/>
      <c r="B1" s="88"/>
      <c r="C1" s="88"/>
      <c r="D1" s="88"/>
      <c r="E1" s="88"/>
      <c r="F1" s="88"/>
      <c r="G1" s="88"/>
      <c r="H1" s="88"/>
      <c r="I1" s="88"/>
    </row>
    <row r="2" spans="1:9">
      <c r="A2" s="88" t="s">
        <v>221</v>
      </c>
      <c r="B2" s="93" t="s">
        <v>413</v>
      </c>
      <c r="C2" s="93" t="s">
        <v>414</v>
      </c>
      <c r="D2" s="93" t="s">
        <v>415</v>
      </c>
      <c r="E2" s="93" t="s">
        <v>416</v>
      </c>
      <c r="F2" s="93" t="s">
        <v>417</v>
      </c>
      <c r="G2" s="93" t="s">
        <v>418</v>
      </c>
      <c r="H2" s="93" t="s">
        <v>419</v>
      </c>
      <c r="I2" s="93" t="s">
        <v>420</v>
      </c>
    </row>
    <row r="3" spans="1:9">
      <c r="A3" s="88">
        <v>1</v>
      </c>
      <c r="B3" s="88" t="s">
        <v>149</v>
      </c>
      <c r="C3" s="88" t="s">
        <v>421</v>
      </c>
      <c r="D3" s="94">
        <v>45624</v>
      </c>
      <c r="E3" s="88" t="s">
        <v>422</v>
      </c>
      <c r="F3" s="88" t="s">
        <v>423</v>
      </c>
      <c r="G3" s="88"/>
      <c r="H3" s="88" t="s">
        <v>424</v>
      </c>
      <c r="I3" s="88"/>
    </row>
    <row r="4" spans="1:9">
      <c r="A4" s="88">
        <v>2</v>
      </c>
      <c r="B4" s="88" t="s">
        <v>150</v>
      </c>
      <c r="C4" s="88" t="s">
        <v>230</v>
      </c>
      <c r="D4" s="94">
        <v>45624</v>
      </c>
      <c r="E4" s="88" t="s">
        <v>425</v>
      </c>
      <c r="F4" s="95" t="s">
        <v>426</v>
      </c>
      <c r="G4" s="88"/>
      <c r="H4" s="88" t="s">
        <v>427</v>
      </c>
      <c r="I4" s="88"/>
    </row>
    <row r="5" spans="1:9">
      <c r="A5" s="88">
        <v>3</v>
      </c>
      <c r="B5" s="88" t="s">
        <v>106</v>
      </c>
      <c r="C5" s="88" t="s">
        <v>421</v>
      </c>
      <c r="D5" s="94">
        <v>45624</v>
      </c>
      <c r="E5" s="88" t="s">
        <v>428</v>
      </c>
      <c r="F5" s="88" t="s">
        <v>429</v>
      </c>
      <c r="G5" s="88" t="s">
        <v>29</v>
      </c>
      <c r="H5" s="88" t="s">
        <v>424</v>
      </c>
      <c r="I5" s="94">
        <v>45628</v>
      </c>
    </row>
    <row r="6" spans="1:9">
      <c r="A6" s="88">
        <v>4</v>
      </c>
      <c r="B6" s="88" t="s">
        <v>123</v>
      </c>
      <c r="C6" s="88" t="s">
        <v>421</v>
      </c>
      <c r="D6" s="94">
        <v>45624</v>
      </c>
      <c r="E6" s="88" t="s">
        <v>428</v>
      </c>
      <c r="F6" s="88" t="s">
        <v>429</v>
      </c>
      <c r="G6" s="88" t="s">
        <v>29</v>
      </c>
      <c r="H6" s="88" t="s">
        <v>424</v>
      </c>
      <c r="I6" s="94">
        <v>45628</v>
      </c>
    </row>
    <row r="7" spans="1:9">
      <c r="A7" s="88">
        <v>5</v>
      </c>
      <c r="B7" s="88" t="s">
        <v>131</v>
      </c>
      <c r="C7" s="88" t="s">
        <v>421</v>
      </c>
      <c r="D7" s="94">
        <v>45624</v>
      </c>
      <c r="E7" s="88" t="s">
        <v>428</v>
      </c>
      <c r="F7" s="88" t="s">
        <v>429</v>
      </c>
      <c r="G7" s="88"/>
      <c r="H7" s="88" t="s">
        <v>424</v>
      </c>
      <c r="I7" s="88"/>
    </row>
    <row r="8" spans="1:9">
      <c r="A8" s="88">
        <v>6</v>
      </c>
      <c r="B8" s="88" t="s">
        <v>380</v>
      </c>
      <c r="C8" s="88" t="s">
        <v>230</v>
      </c>
      <c r="D8" s="94">
        <v>45624</v>
      </c>
      <c r="E8" s="88" t="s">
        <v>430</v>
      </c>
      <c r="F8" s="88" t="s">
        <v>431</v>
      </c>
      <c r="G8" s="88"/>
      <c r="H8" s="88" t="s">
        <v>432</v>
      </c>
      <c r="I8" s="88"/>
    </row>
    <row r="9" spans="1:9">
      <c r="A9" s="88">
        <v>7</v>
      </c>
      <c r="B9" s="88" t="s">
        <v>90</v>
      </c>
      <c r="C9" s="88" t="s">
        <v>230</v>
      </c>
      <c r="D9" s="94">
        <v>45624</v>
      </c>
      <c r="E9" s="88" t="s">
        <v>430</v>
      </c>
      <c r="F9" s="88"/>
      <c r="G9" s="88" t="s">
        <v>29</v>
      </c>
      <c r="H9" s="88" t="s">
        <v>424</v>
      </c>
      <c r="I9" s="94">
        <v>45670</v>
      </c>
    </row>
    <row r="10" spans="1:9">
      <c r="A10" s="88">
        <v>8</v>
      </c>
      <c r="B10" s="88" t="s">
        <v>232</v>
      </c>
      <c r="C10" s="88" t="s">
        <v>433</v>
      </c>
      <c r="D10" s="94">
        <v>45628</v>
      </c>
      <c r="E10" s="88" t="s">
        <v>434</v>
      </c>
      <c r="F10" s="88" t="s">
        <v>435</v>
      </c>
      <c r="G10" s="88" t="s">
        <v>29</v>
      </c>
      <c r="H10" s="88" t="s">
        <v>427</v>
      </c>
      <c r="I10" s="94">
        <v>45628</v>
      </c>
    </row>
    <row r="11" spans="1:9">
      <c r="A11" s="88">
        <v>9</v>
      </c>
      <c r="B11" s="88" t="s">
        <v>123</v>
      </c>
      <c r="C11" s="88" t="s">
        <v>421</v>
      </c>
      <c r="D11" s="94">
        <v>45629</v>
      </c>
      <c r="E11" s="88" t="s">
        <v>436</v>
      </c>
      <c r="F11" s="88" t="s">
        <v>429</v>
      </c>
      <c r="G11" s="88" t="s">
        <v>29</v>
      </c>
      <c r="H11" s="88" t="s">
        <v>424</v>
      </c>
      <c r="I11" s="94">
        <v>45628</v>
      </c>
    </row>
    <row r="12" spans="1:9">
      <c r="A12" s="96">
        <v>10</v>
      </c>
      <c r="B12" s="96" t="s">
        <v>380</v>
      </c>
      <c r="C12" s="96" t="s">
        <v>437</v>
      </c>
      <c r="D12" s="97">
        <v>45631</v>
      </c>
      <c r="E12" s="96" t="s">
        <v>438</v>
      </c>
      <c r="F12" s="96" t="s">
        <v>439</v>
      </c>
      <c r="G12" s="96"/>
      <c r="H12" s="96" t="s">
        <v>427</v>
      </c>
      <c r="I12" s="96"/>
    </row>
    <row r="13" spans="1:9">
      <c r="A13" s="96">
        <v>11</v>
      </c>
      <c r="B13" s="96" t="s">
        <v>98</v>
      </c>
      <c r="C13" s="96" t="s">
        <v>437</v>
      </c>
      <c r="D13" s="97">
        <v>45631</v>
      </c>
      <c r="E13" s="96" t="s">
        <v>438</v>
      </c>
      <c r="F13" s="78" t="s">
        <v>440</v>
      </c>
      <c r="G13" s="78"/>
      <c r="H13" s="78"/>
      <c r="I13" s="78"/>
    </row>
    <row r="14" spans="1:9">
      <c r="A14" s="88">
        <v>12</v>
      </c>
      <c r="B14" s="88" t="s">
        <v>441</v>
      </c>
      <c r="C14" s="88" t="s">
        <v>437</v>
      </c>
      <c r="D14" s="94">
        <v>45631</v>
      </c>
      <c r="E14" s="96" t="s">
        <v>438</v>
      </c>
      <c r="F14" s="72"/>
      <c r="G14" s="72"/>
      <c r="H14" s="72"/>
      <c r="I14" s="72"/>
    </row>
    <row r="15" spans="1:9">
      <c r="A15" s="96">
        <v>13</v>
      </c>
      <c r="B15" s="96" t="s">
        <v>156</v>
      </c>
      <c r="C15" s="96" t="s">
        <v>437</v>
      </c>
      <c r="D15" s="97">
        <v>45631</v>
      </c>
      <c r="E15" s="96" t="s">
        <v>438</v>
      </c>
      <c r="F15" s="78"/>
      <c r="G15" s="78"/>
      <c r="H15" s="78"/>
      <c r="I15" s="78"/>
    </row>
    <row r="16" spans="1:9">
      <c r="A16" s="88">
        <v>14</v>
      </c>
      <c r="B16" s="88" t="s">
        <v>95</v>
      </c>
      <c r="C16" s="88" t="s">
        <v>437</v>
      </c>
      <c r="D16" s="94">
        <v>45631</v>
      </c>
      <c r="E16" s="96" t="s">
        <v>438</v>
      </c>
      <c r="F16" s="72"/>
      <c r="G16" s="72"/>
      <c r="H16" s="72"/>
      <c r="I16" s="72"/>
    </row>
    <row r="17" spans="1:9">
      <c r="A17" s="96">
        <v>15</v>
      </c>
      <c r="B17" s="96" t="s">
        <v>106</v>
      </c>
      <c r="C17" s="96" t="s">
        <v>437</v>
      </c>
      <c r="D17" s="97">
        <v>45631</v>
      </c>
      <c r="E17" s="96" t="s">
        <v>438</v>
      </c>
      <c r="F17" s="78"/>
      <c r="G17" s="78"/>
      <c r="H17" s="78"/>
      <c r="I17" s="78"/>
    </row>
    <row r="18" spans="1:9">
      <c r="A18" s="96">
        <v>16</v>
      </c>
      <c r="B18" s="96" t="s">
        <v>103</v>
      </c>
      <c r="C18" s="96" t="s">
        <v>437</v>
      </c>
      <c r="D18" s="97">
        <v>45631</v>
      </c>
      <c r="E18" s="96" t="s">
        <v>438</v>
      </c>
      <c r="F18" s="78"/>
      <c r="G18" s="78"/>
      <c r="H18" s="78"/>
      <c r="I18" s="78"/>
    </row>
    <row r="19" spans="1:9">
      <c r="A19" s="88">
        <v>17</v>
      </c>
      <c r="B19" s="88" t="s">
        <v>195</v>
      </c>
      <c r="C19" s="88" t="s">
        <v>437</v>
      </c>
      <c r="D19" s="94">
        <v>45635</v>
      </c>
      <c r="E19" s="88" t="s">
        <v>442</v>
      </c>
      <c r="F19" s="72" t="s">
        <v>443</v>
      </c>
      <c r="G19" s="88" t="s">
        <v>29</v>
      </c>
      <c r="H19" s="88" t="s">
        <v>427</v>
      </c>
      <c r="I19" s="94">
        <v>45635</v>
      </c>
    </row>
    <row r="20" spans="1:9">
      <c r="A20" s="88">
        <v>18</v>
      </c>
      <c r="B20" s="88" t="s">
        <v>444</v>
      </c>
      <c r="C20" s="88" t="s">
        <v>421</v>
      </c>
      <c r="D20" s="94"/>
      <c r="E20" s="88" t="s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93D3-3AF9-46D1-A6CC-2C36BB441BA6}">
  <dimension ref="A2:J198"/>
  <sheetViews>
    <sheetView workbookViewId="0">
      <selection activeCell="A94" sqref="A94"/>
    </sheetView>
  </sheetViews>
  <sheetFormatPr defaultRowHeight="15"/>
  <cols>
    <col min="1" max="1" width="37" bestFit="1" customWidth="1"/>
    <col min="2" max="2" width="22.85546875" bestFit="1" customWidth="1"/>
    <col min="3" max="4" width="7.42578125" bestFit="1" customWidth="1"/>
    <col min="5" max="8" width="6.28515625" bestFit="1" customWidth="1"/>
    <col min="9" max="9" width="5.140625" bestFit="1" customWidth="1"/>
    <col min="10" max="10" width="11.140625" bestFit="1" customWidth="1"/>
  </cols>
  <sheetData>
    <row r="2" spans="1:10">
      <c r="A2" s="118" t="s">
        <v>446</v>
      </c>
      <c r="B2" s="118" t="s">
        <v>241</v>
      </c>
      <c r="C2" s="88"/>
      <c r="D2" s="88"/>
      <c r="E2" s="88"/>
      <c r="F2" s="88"/>
      <c r="G2" s="88"/>
      <c r="H2" s="88"/>
      <c r="I2" s="88"/>
      <c r="J2" s="88"/>
    </row>
    <row r="3" spans="1:10">
      <c r="A3" s="118" t="s">
        <v>240</v>
      </c>
      <c r="B3" s="88" t="s">
        <v>248</v>
      </c>
      <c r="C3" s="88" t="s">
        <v>253</v>
      </c>
      <c r="D3" s="88" t="s">
        <v>267</v>
      </c>
      <c r="E3" s="88" t="s">
        <v>294</v>
      </c>
      <c r="F3" s="88" t="s">
        <v>293</v>
      </c>
      <c r="G3" s="88" t="s">
        <v>341</v>
      </c>
      <c r="H3" s="88" t="s">
        <v>352</v>
      </c>
      <c r="I3" s="88" t="s">
        <v>375</v>
      </c>
      <c r="J3" s="88" t="s">
        <v>447</v>
      </c>
    </row>
    <row r="4" spans="1:10">
      <c r="A4" s="88" t="s">
        <v>207</v>
      </c>
      <c r="B4" s="88">
        <v>15560</v>
      </c>
      <c r="C4" s="88">
        <v>4560</v>
      </c>
      <c r="D4" s="88">
        <v>4560</v>
      </c>
      <c r="E4" s="88">
        <v>4560</v>
      </c>
      <c r="F4" s="88">
        <v>4560</v>
      </c>
      <c r="G4" s="88">
        <v>4560</v>
      </c>
      <c r="H4" s="88">
        <v>4560</v>
      </c>
      <c r="I4" s="88"/>
      <c r="J4" s="88">
        <v>42920</v>
      </c>
    </row>
    <row r="5" spans="1:10">
      <c r="A5" s="88" t="s">
        <v>209</v>
      </c>
      <c r="B5" s="88">
        <v>12448</v>
      </c>
      <c r="C5" s="88">
        <v>3648</v>
      </c>
      <c r="D5" s="88"/>
      <c r="E5" s="88">
        <v>3648</v>
      </c>
      <c r="F5" s="88">
        <v>3648</v>
      </c>
      <c r="G5" s="88">
        <v>3648</v>
      </c>
      <c r="H5" s="88">
        <v>3648</v>
      </c>
      <c r="I5" s="88">
        <v>3648</v>
      </c>
      <c r="J5" s="88">
        <v>34336</v>
      </c>
    </row>
    <row r="6" spans="1:10">
      <c r="A6" s="88" t="s">
        <v>330</v>
      </c>
      <c r="B6" s="88">
        <v>17116</v>
      </c>
      <c r="C6" s="88">
        <v>5016</v>
      </c>
      <c r="D6" s="88">
        <v>4560</v>
      </c>
      <c r="E6" s="88">
        <v>5016</v>
      </c>
      <c r="F6" s="88"/>
      <c r="G6" s="88"/>
      <c r="H6" s="88"/>
      <c r="I6" s="88"/>
      <c r="J6" s="88">
        <v>31708</v>
      </c>
    </row>
    <row r="7" spans="1:10">
      <c r="A7" s="88" t="s">
        <v>159</v>
      </c>
      <c r="B7" s="88">
        <v>14004</v>
      </c>
      <c r="C7" s="88">
        <v>4104</v>
      </c>
      <c r="D7" s="88">
        <v>4104</v>
      </c>
      <c r="E7" s="88">
        <v>4104</v>
      </c>
      <c r="F7" s="88"/>
      <c r="G7" s="88"/>
      <c r="H7" s="88"/>
      <c r="I7" s="88"/>
      <c r="J7" s="88">
        <v>26316</v>
      </c>
    </row>
    <row r="8" spans="1:10">
      <c r="A8" s="88" t="s">
        <v>149</v>
      </c>
      <c r="B8" s="88">
        <v>15560</v>
      </c>
      <c r="C8" s="88">
        <v>4560</v>
      </c>
      <c r="D8" s="88">
        <v>4560</v>
      </c>
      <c r="E8" s="88"/>
      <c r="F8" s="88"/>
      <c r="G8" s="88"/>
      <c r="H8" s="88"/>
      <c r="I8" s="88"/>
      <c r="J8" s="88">
        <v>24680</v>
      </c>
    </row>
    <row r="9" spans="1:10">
      <c r="A9" s="88" t="s">
        <v>178</v>
      </c>
      <c r="B9" s="88">
        <v>9336</v>
      </c>
      <c r="C9" s="88">
        <v>2736</v>
      </c>
      <c r="D9" s="88">
        <v>2736</v>
      </c>
      <c r="E9" s="88">
        <v>5472</v>
      </c>
      <c r="F9" s="88">
        <v>2736</v>
      </c>
      <c r="G9" s="88"/>
      <c r="H9" s="88"/>
      <c r="I9" s="88"/>
      <c r="J9" s="88">
        <v>23016</v>
      </c>
    </row>
    <row r="10" spans="1:10">
      <c r="A10" s="88" t="s">
        <v>156</v>
      </c>
      <c r="B10" s="88">
        <v>11670</v>
      </c>
      <c r="C10" s="88">
        <v>3420</v>
      </c>
      <c r="D10" s="88">
        <v>3420</v>
      </c>
      <c r="E10" s="88">
        <v>3420</v>
      </c>
      <c r="F10" s="88"/>
      <c r="G10" s="88"/>
      <c r="H10" s="88"/>
      <c r="I10" s="88"/>
      <c r="J10" s="88">
        <v>21930</v>
      </c>
    </row>
    <row r="11" spans="1:10">
      <c r="A11" s="88" t="s">
        <v>213</v>
      </c>
      <c r="B11" s="88">
        <v>7780</v>
      </c>
      <c r="C11" s="88">
        <v>2280</v>
      </c>
      <c r="D11" s="88">
        <v>2280</v>
      </c>
      <c r="E11" s="88">
        <v>2280</v>
      </c>
      <c r="F11" s="88">
        <v>1824</v>
      </c>
      <c r="G11" s="88">
        <v>3648</v>
      </c>
      <c r="H11" s="88"/>
      <c r="I11" s="88">
        <v>1368</v>
      </c>
      <c r="J11" s="88">
        <v>21460</v>
      </c>
    </row>
    <row r="12" spans="1:10">
      <c r="A12" s="88" t="s">
        <v>325</v>
      </c>
      <c r="B12" s="88">
        <v>10892</v>
      </c>
      <c r="C12" s="88">
        <v>3192</v>
      </c>
      <c r="D12" s="88">
        <v>6384</v>
      </c>
      <c r="E12" s="88"/>
      <c r="F12" s="88"/>
      <c r="G12" s="88"/>
      <c r="H12" s="88"/>
      <c r="I12" s="88"/>
      <c r="J12" s="88">
        <v>20468</v>
      </c>
    </row>
    <row r="13" spans="1:10">
      <c r="A13" s="88" t="s">
        <v>197</v>
      </c>
      <c r="B13" s="88">
        <v>8558</v>
      </c>
      <c r="C13" s="88">
        <v>2508</v>
      </c>
      <c r="D13" s="88">
        <v>2508</v>
      </c>
      <c r="E13" s="88">
        <v>1824</v>
      </c>
      <c r="F13" s="88">
        <v>2508</v>
      </c>
      <c r="G13" s="88">
        <v>2508</v>
      </c>
      <c r="H13" s="88"/>
      <c r="I13" s="88"/>
      <c r="J13" s="88">
        <v>20414</v>
      </c>
    </row>
    <row r="14" spans="1:10">
      <c r="A14" s="88" t="s">
        <v>107</v>
      </c>
      <c r="B14" s="88">
        <v>20228</v>
      </c>
      <c r="C14" s="88"/>
      <c r="D14" s="88"/>
      <c r="E14" s="88"/>
      <c r="F14" s="88"/>
      <c r="G14" s="88"/>
      <c r="H14" s="88"/>
      <c r="I14" s="88"/>
      <c r="J14" s="88">
        <v>20228</v>
      </c>
    </row>
    <row r="15" spans="1:10">
      <c r="A15" s="88" t="s">
        <v>211</v>
      </c>
      <c r="B15" s="88">
        <v>6224</v>
      </c>
      <c r="C15" s="88">
        <v>1824</v>
      </c>
      <c r="D15" s="88">
        <v>1824</v>
      </c>
      <c r="E15" s="88">
        <v>3648</v>
      </c>
      <c r="F15" s="88"/>
      <c r="G15" s="88">
        <v>5472</v>
      </c>
      <c r="H15" s="88"/>
      <c r="I15" s="88"/>
      <c r="J15" s="88">
        <v>18992</v>
      </c>
    </row>
    <row r="16" spans="1:10">
      <c r="A16" s="88" t="s">
        <v>187</v>
      </c>
      <c r="B16" s="88">
        <v>6930</v>
      </c>
      <c r="C16" s="88">
        <v>4332</v>
      </c>
      <c r="D16" s="88">
        <v>3002</v>
      </c>
      <c r="E16" s="88">
        <v>684</v>
      </c>
      <c r="F16" s="88">
        <v>3876</v>
      </c>
      <c r="G16" s="88"/>
      <c r="H16" s="88"/>
      <c r="I16" s="88"/>
      <c r="J16" s="88">
        <v>18824</v>
      </c>
    </row>
    <row r="17" spans="1:10">
      <c r="A17" s="88" t="s">
        <v>353</v>
      </c>
      <c r="B17" s="88">
        <v>17116</v>
      </c>
      <c r="C17" s="88"/>
      <c r="D17" s="88"/>
      <c r="E17" s="88"/>
      <c r="F17" s="88"/>
      <c r="G17" s="88"/>
      <c r="H17" s="88"/>
      <c r="I17" s="88"/>
      <c r="J17" s="88">
        <v>17116</v>
      </c>
    </row>
    <row r="18" spans="1:10">
      <c r="A18" s="88" t="s">
        <v>304</v>
      </c>
      <c r="B18" s="88">
        <v>6224</v>
      </c>
      <c r="C18" s="88">
        <v>1824</v>
      </c>
      <c r="D18" s="88"/>
      <c r="E18" s="88">
        <v>2432</v>
      </c>
      <c r="F18" s="88"/>
      <c r="G18" s="88">
        <v>1824</v>
      </c>
      <c r="H18" s="88">
        <v>1824</v>
      </c>
      <c r="I18" s="88">
        <v>1824</v>
      </c>
      <c r="J18" s="88">
        <v>15952</v>
      </c>
    </row>
    <row r="19" spans="1:10">
      <c r="A19" s="88" t="s">
        <v>88</v>
      </c>
      <c r="B19" s="88">
        <v>15560</v>
      </c>
      <c r="C19" s="88"/>
      <c r="D19" s="88"/>
      <c r="E19" s="88"/>
      <c r="F19" s="88"/>
      <c r="G19" s="88"/>
      <c r="H19" s="88"/>
      <c r="I19" s="88"/>
      <c r="J19" s="88">
        <v>15560</v>
      </c>
    </row>
    <row r="20" spans="1:10">
      <c r="A20" s="88" t="s">
        <v>266</v>
      </c>
      <c r="B20" s="88">
        <v>7002</v>
      </c>
      <c r="C20" s="88">
        <v>2052</v>
      </c>
      <c r="D20" s="88">
        <v>2052</v>
      </c>
      <c r="E20" s="88">
        <v>2052</v>
      </c>
      <c r="F20" s="88">
        <v>1824</v>
      </c>
      <c r="G20" s="88"/>
      <c r="H20" s="88"/>
      <c r="I20" s="88"/>
      <c r="J20" s="88">
        <v>14982</v>
      </c>
    </row>
    <row r="21" spans="1:10">
      <c r="A21" s="88" t="s">
        <v>153</v>
      </c>
      <c r="B21" s="88">
        <v>9336</v>
      </c>
      <c r="C21" s="88">
        <v>2736</v>
      </c>
      <c r="D21" s="88">
        <v>2736</v>
      </c>
      <c r="E21" s="88"/>
      <c r="F21" s="88"/>
      <c r="G21" s="88"/>
      <c r="H21" s="88"/>
      <c r="I21" s="88"/>
      <c r="J21" s="88">
        <v>14808</v>
      </c>
    </row>
    <row r="22" spans="1:10">
      <c r="A22" s="88" t="s">
        <v>339</v>
      </c>
      <c r="B22" s="88">
        <v>7780</v>
      </c>
      <c r="C22" s="88">
        <v>2280</v>
      </c>
      <c r="D22" s="88">
        <v>2280</v>
      </c>
      <c r="E22" s="88">
        <v>2280</v>
      </c>
      <c r="F22" s="88"/>
      <c r="G22" s="88"/>
      <c r="H22" s="88"/>
      <c r="I22" s="88"/>
      <c r="J22" s="88">
        <v>14620</v>
      </c>
    </row>
    <row r="23" spans="1:10">
      <c r="A23" s="88" t="s">
        <v>175</v>
      </c>
      <c r="B23" s="88">
        <v>7780</v>
      </c>
      <c r="C23" s="88">
        <v>2280</v>
      </c>
      <c r="D23" s="88">
        <v>2280</v>
      </c>
      <c r="E23" s="88">
        <v>2280</v>
      </c>
      <c r="F23" s="88"/>
      <c r="G23" s="88"/>
      <c r="H23" s="88"/>
      <c r="I23" s="88"/>
      <c r="J23" s="88">
        <v>14620</v>
      </c>
    </row>
    <row r="24" spans="1:10">
      <c r="A24" s="88" t="s">
        <v>350</v>
      </c>
      <c r="B24" s="88">
        <v>14004</v>
      </c>
      <c r="C24" s="88"/>
      <c r="D24" s="88"/>
      <c r="E24" s="88"/>
      <c r="F24" s="88"/>
      <c r="G24" s="88"/>
      <c r="H24" s="88"/>
      <c r="I24" s="88"/>
      <c r="J24" s="88">
        <v>14004</v>
      </c>
    </row>
    <row r="25" spans="1:10">
      <c r="A25" s="88" t="s">
        <v>95</v>
      </c>
      <c r="B25" s="88">
        <v>14004</v>
      </c>
      <c r="C25" s="88"/>
      <c r="D25" s="88"/>
      <c r="E25" s="88"/>
      <c r="F25" s="88"/>
      <c r="G25" s="88"/>
      <c r="H25" s="88"/>
      <c r="I25" s="88"/>
      <c r="J25" s="88">
        <v>14004</v>
      </c>
    </row>
    <row r="26" spans="1:10">
      <c r="A26" s="88" t="s">
        <v>181</v>
      </c>
      <c r="B26" s="88">
        <v>6224</v>
      </c>
      <c r="C26" s="88">
        <v>1824</v>
      </c>
      <c r="D26" s="88">
        <v>1824</v>
      </c>
      <c r="E26" s="88">
        <v>1824</v>
      </c>
      <c r="F26" s="88">
        <v>1824</v>
      </c>
      <c r="G26" s="88"/>
      <c r="H26" s="88"/>
      <c r="I26" s="88"/>
      <c r="J26" s="88">
        <v>13520</v>
      </c>
    </row>
    <row r="27" spans="1:10">
      <c r="A27" s="88" t="s">
        <v>365</v>
      </c>
      <c r="B27" s="88">
        <v>12448</v>
      </c>
      <c r="C27" s="88"/>
      <c r="D27" s="88"/>
      <c r="E27" s="88"/>
      <c r="F27" s="88"/>
      <c r="G27" s="88"/>
      <c r="H27" s="88"/>
      <c r="I27" s="88"/>
      <c r="J27" s="88">
        <v>12448</v>
      </c>
    </row>
    <row r="28" spans="1:10">
      <c r="A28" s="88" t="s">
        <v>146</v>
      </c>
      <c r="B28" s="88">
        <v>7780</v>
      </c>
      <c r="C28" s="88">
        <v>2280</v>
      </c>
      <c r="D28" s="88">
        <v>2280</v>
      </c>
      <c r="E28" s="88"/>
      <c r="F28" s="88"/>
      <c r="G28" s="88"/>
      <c r="H28" s="88"/>
      <c r="I28" s="88"/>
      <c r="J28" s="88">
        <v>12340</v>
      </c>
    </row>
    <row r="29" spans="1:10">
      <c r="A29" s="88" t="s">
        <v>150</v>
      </c>
      <c r="B29" s="88">
        <v>7780</v>
      </c>
      <c r="C29" s="88">
        <v>2280</v>
      </c>
      <c r="D29" s="88">
        <v>2280</v>
      </c>
      <c r="E29" s="88"/>
      <c r="F29" s="88"/>
      <c r="G29" s="88"/>
      <c r="H29" s="88"/>
      <c r="I29" s="88"/>
      <c r="J29" s="88">
        <v>12340</v>
      </c>
    </row>
    <row r="30" spans="1:10">
      <c r="A30" s="88" t="s">
        <v>185</v>
      </c>
      <c r="B30" s="88">
        <v>5446</v>
      </c>
      <c r="C30" s="88">
        <v>1596</v>
      </c>
      <c r="D30" s="88">
        <v>1596</v>
      </c>
      <c r="E30" s="88">
        <v>1596</v>
      </c>
      <c r="F30" s="88">
        <v>1596</v>
      </c>
      <c r="G30" s="88"/>
      <c r="H30" s="88"/>
      <c r="I30" s="88"/>
      <c r="J30" s="88">
        <v>11830</v>
      </c>
    </row>
    <row r="31" spans="1:10">
      <c r="A31" s="88" t="s">
        <v>202</v>
      </c>
      <c r="B31" s="88">
        <v>5446</v>
      </c>
      <c r="C31" s="88">
        <v>1596</v>
      </c>
      <c r="D31" s="88">
        <v>1596</v>
      </c>
      <c r="E31" s="88">
        <v>912</v>
      </c>
      <c r="F31" s="88"/>
      <c r="G31" s="88">
        <v>912</v>
      </c>
      <c r="H31" s="88">
        <v>912</v>
      </c>
      <c r="I31" s="88"/>
      <c r="J31" s="88">
        <v>11374</v>
      </c>
    </row>
    <row r="32" spans="1:10">
      <c r="A32" s="88" t="s">
        <v>264</v>
      </c>
      <c r="B32" s="88">
        <v>5446</v>
      </c>
      <c r="C32" s="88">
        <v>1596</v>
      </c>
      <c r="D32" s="88">
        <v>1596</v>
      </c>
      <c r="E32" s="88">
        <v>1140</v>
      </c>
      <c r="F32" s="88">
        <v>1463</v>
      </c>
      <c r="G32" s="88"/>
      <c r="H32" s="88"/>
      <c r="I32" s="88"/>
      <c r="J32" s="88">
        <v>11241</v>
      </c>
    </row>
    <row r="33" spans="1:10">
      <c r="A33" s="88" t="s">
        <v>215</v>
      </c>
      <c r="B33" s="88">
        <v>5446</v>
      </c>
      <c r="C33" s="88">
        <v>1596</v>
      </c>
      <c r="D33" s="88">
        <v>1368</v>
      </c>
      <c r="E33" s="88">
        <v>1368</v>
      </c>
      <c r="F33" s="88">
        <v>1368</v>
      </c>
      <c r="G33" s="88"/>
      <c r="H33" s="88"/>
      <c r="I33" s="88"/>
      <c r="J33" s="88">
        <v>11146</v>
      </c>
    </row>
    <row r="34" spans="1:10">
      <c r="A34" s="88" t="s">
        <v>81</v>
      </c>
      <c r="B34" s="88">
        <v>10892</v>
      </c>
      <c r="C34" s="88"/>
      <c r="D34" s="88"/>
      <c r="E34" s="88"/>
      <c r="F34" s="88"/>
      <c r="G34" s="88"/>
      <c r="H34" s="88"/>
      <c r="I34" s="88"/>
      <c r="J34" s="88">
        <v>10892</v>
      </c>
    </row>
    <row r="35" spans="1:10">
      <c r="A35" s="88" t="s">
        <v>96</v>
      </c>
      <c r="B35" s="88">
        <v>10892</v>
      </c>
      <c r="C35" s="88"/>
      <c r="D35" s="88"/>
      <c r="E35" s="88"/>
      <c r="F35" s="88"/>
      <c r="G35" s="88"/>
      <c r="H35" s="88"/>
      <c r="I35" s="88"/>
      <c r="J35" s="88">
        <v>10892</v>
      </c>
    </row>
    <row r="36" spans="1:10">
      <c r="A36" s="88" t="s">
        <v>369</v>
      </c>
      <c r="B36" s="88">
        <v>10892</v>
      </c>
      <c r="C36" s="88"/>
      <c r="D36" s="88"/>
      <c r="E36" s="88"/>
      <c r="F36" s="88"/>
      <c r="G36" s="88"/>
      <c r="H36" s="88"/>
      <c r="I36" s="88"/>
      <c r="J36" s="88">
        <v>10892</v>
      </c>
    </row>
    <row r="37" spans="1:10">
      <c r="A37" s="88" t="s">
        <v>91</v>
      </c>
      <c r="B37" s="88">
        <v>10892</v>
      </c>
      <c r="C37" s="88"/>
      <c r="D37" s="88"/>
      <c r="E37" s="88"/>
      <c r="F37" s="88"/>
      <c r="G37" s="88"/>
      <c r="H37" s="88"/>
      <c r="I37" s="88"/>
      <c r="J37" s="88">
        <v>10892</v>
      </c>
    </row>
    <row r="38" spans="1:10">
      <c r="A38" s="88" t="s">
        <v>98</v>
      </c>
      <c r="B38" s="88">
        <v>10892</v>
      </c>
      <c r="C38" s="88"/>
      <c r="D38" s="88"/>
      <c r="E38" s="88"/>
      <c r="F38" s="88"/>
      <c r="G38" s="88"/>
      <c r="H38" s="88"/>
      <c r="I38" s="88"/>
      <c r="J38" s="88">
        <v>10892</v>
      </c>
    </row>
    <row r="39" spans="1:10">
      <c r="A39" s="88" t="s">
        <v>169</v>
      </c>
      <c r="B39" s="88">
        <v>6224</v>
      </c>
      <c r="C39" s="88">
        <v>1824</v>
      </c>
      <c r="D39" s="88">
        <v>1824</v>
      </c>
      <c r="E39" s="88">
        <v>912</v>
      </c>
      <c r="F39" s="88"/>
      <c r="G39" s="88"/>
      <c r="H39" s="88"/>
      <c r="I39" s="88"/>
      <c r="J39" s="88">
        <v>10784</v>
      </c>
    </row>
    <row r="40" spans="1:10">
      <c r="A40" s="88" t="s">
        <v>303</v>
      </c>
      <c r="B40" s="88">
        <v>7780</v>
      </c>
      <c r="C40" s="88">
        <v>2280</v>
      </c>
      <c r="D40" s="88"/>
      <c r="E40" s="88"/>
      <c r="F40" s="88">
        <v>665</v>
      </c>
      <c r="G40" s="88"/>
      <c r="H40" s="88"/>
      <c r="I40" s="88"/>
      <c r="J40" s="88">
        <v>10725</v>
      </c>
    </row>
    <row r="41" spans="1:10">
      <c r="A41" s="88" t="s">
        <v>195</v>
      </c>
      <c r="B41" s="88">
        <v>7002</v>
      </c>
      <c r="C41" s="88">
        <v>912</v>
      </c>
      <c r="D41" s="88">
        <v>912</v>
      </c>
      <c r="E41" s="88">
        <v>912</v>
      </c>
      <c r="F41" s="88">
        <v>912</v>
      </c>
      <c r="G41" s="88"/>
      <c r="H41" s="88"/>
      <c r="I41" s="88"/>
      <c r="J41" s="88">
        <v>10650</v>
      </c>
    </row>
    <row r="42" spans="1:10">
      <c r="A42" s="88" t="s">
        <v>171</v>
      </c>
      <c r="B42" s="88">
        <v>5446</v>
      </c>
      <c r="C42" s="88">
        <v>1596</v>
      </c>
      <c r="D42" s="88">
        <v>1596</v>
      </c>
      <c r="E42" s="88">
        <v>1596</v>
      </c>
      <c r="F42" s="88"/>
      <c r="G42" s="88"/>
      <c r="H42" s="88"/>
      <c r="I42" s="88"/>
      <c r="J42" s="88">
        <v>10234</v>
      </c>
    </row>
    <row r="43" spans="1:10">
      <c r="A43" s="88" t="s">
        <v>368</v>
      </c>
      <c r="B43" s="88">
        <v>10114</v>
      </c>
      <c r="C43" s="88"/>
      <c r="D43" s="88"/>
      <c r="E43" s="88"/>
      <c r="F43" s="88"/>
      <c r="G43" s="88"/>
      <c r="H43" s="88"/>
      <c r="I43" s="88"/>
      <c r="J43" s="88">
        <v>10114</v>
      </c>
    </row>
    <row r="44" spans="1:10">
      <c r="A44" s="88" t="s">
        <v>144</v>
      </c>
      <c r="B44" s="88">
        <v>7780</v>
      </c>
      <c r="C44" s="88">
        <v>2280</v>
      </c>
      <c r="D44" s="88"/>
      <c r="E44" s="88"/>
      <c r="F44" s="88"/>
      <c r="G44" s="88"/>
      <c r="H44" s="88"/>
      <c r="I44" s="88"/>
      <c r="J44" s="88">
        <v>10060</v>
      </c>
    </row>
    <row r="45" spans="1:10">
      <c r="A45" s="88" t="s">
        <v>217</v>
      </c>
      <c r="B45" s="88">
        <v>3890</v>
      </c>
      <c r="C45" s="88">
        <v>1140</v>
      </c>
      <c r="D45" s="88"/>
      <c r="E45" s="88">
        <v>1520</v>
      </c>
      <c r="F45" s="88">
        <v>760</v>
      </c>
      <c r="G45" s="88">
        <v>912</v>
      </c>
      <c r="H45" s="88">
        <v>912</v>
      </c>
      <c r="I45" s="88">
        <v>912</v>
      </c>
      <c r="J45" s="88">
        <v>10046</v>
      </c>
    </row>
    <row r="46" spans="1:10">
      <c r="A46" s="88" t="s">
        <v>324</v>
      </c>
      <c r="B46" s="88">
        <v>6224</v>
      </c>
      <c r="C46" s="88">
        <v>1824</v>
      </c>
      <c r="D46" s="88">
        <v>1824</v>
      </c>
      <c r="E46" s="88"/>
      <c r="F46" s="88"/>
      <c r="G46" s="88"/>
      <c r="H46" s="88"/>
      <c r="I46" s="88"/>
      <c r="J46" s="88">
        <v>9872</v>
      </c>
    </row>
    <row r="47" spans="1:10">
      <c r="A47" s="88" t="s">
        <v>278</v>
      </c>
      <c r="B47" s="88">
        <v>3890</v>
      </c>
      <c r="C47" s="88">
        <v>1140</v>
      </c>
      <c r="D47" s="88">
        <v>1140</v>
      </c>
      <c r="E47" s="88">
        <v>1140</v>
      </c>
      <c r="F47" s="88">
        <v>1140</v>
      </c>
      <c r="G47" s="88">
        <v>1140</v>
      </c>
      <c r="H47" s="88"/>
      <c r="I47" s="88"/>
      <c r="J47" s="88">
        <v>9590</v>
      </c>
    </row>
    <row r="48" spans="1:10">
      <c r="A48" s="88" t="s">
        <v>363</v>
      </c>
      <c r="B48" s="88">
        <v>9336</v>
      </c>
      <c r="C48" s="88"/>
      <c r="D48" s="88"/>
      <c r="E48" s="88"/>
      <c r="F48" s="88"/>
      <c r="G48" s="88"/>
      <c r="H48" s="88"/>
      <c r="I48" s="88"/>
      <c r="J48" s="88">
        <v>9336</v>
      </c>
    </row>
    <row r="49" spans="1:10">
      <c r="A49" s="88" t="s">
        <v>362</v>
      </c>
      <c r="B49" s="88">
        <v>9336</v>
      </c>
      <c r="C49" s="88"/>
      <c r="D49" s="88"/>
      <c r="E49" s="88"/>
      <c r="F49" s="88"/>
      <c r="G49" s="88"/>
      <c r="H49" s="88"/>
      <c r="I49" s="88"/>
      <c r="J49" s="88">
        <v>9336</v>
      </c>
    </row>
    <row r="50" spans="1:10">
      <c r="A50" s="88" t="s">
        <v>128</v>
      </c>
      <c r="B50" s="88">
        <v>9336</v>
      </c>
      <c r="C50" s="88"/>
      <c r="D50" s="88"/>
      <c r="E50" s="88"/>
      <c r="F50" s="88"/>
      <c r="G50" s="88"/>
      <c r="H50" s="88"/>
      <c r="I50" s="88"/>
      <c r="J50" s="88">
        <v>9336</v>
      </c>
    </row>
    <row r="51" spans="1:10">
      <c r="A51" s="88" t="s">
        <v>377</v>
      </c>
      <c r="B51" s="88">
        <v>9336</v>
      </c>
      <c r="C51" s="88"/>
      <c r="D51" s="88"/>
      <c r="E51" s="88"/>
      <c r="F51" s="88"/>
      <c r="G51" s="88"/>
      <c r="H51" s="88"/>
      <c r="I51" s="88"/>
      <c r="J51" s="88">
        <v>9336</v>
      </c>
    </row>
    <row r="52" spans="1:10">
      <c r="A52" s="88" t="s">
        <v>106</v>
      </c>
      <c r="B52" s="88">
        <v>9336</v>
      </c>
      <c r="C52" s="88"/>
      <c r="D52" s="88"/>
      <c r="E52" s="88"/>
      <c r="F52" s="88"/>
      <c r="G52" s="88"/>
      <c r="H52" s="88"/>
      <c r="I52" s="88"/>
      <c r="J52" s="88">
        <v>9336</v>
      </c>
    </row>
    <row r="53" spans="1:10">
      <c r="A53" s="88" t="s">
        <v>84</v>
      </c>
      <c r="B53" s="88">
        <v>9336</v>
      </c>
      <c r="C53" s="88"/>
      <c r="D53" s="88"/>
      <c r="E53" s="88"/>
      <c r="F53" s="88"/>
      <c r="G53" s="88"/>
      <c r="H53" s="88"/>
      <c r="I53" s="88"/>
      <c r="J53" s="88">
        <v>9336</v>
      </c>
    </row>
    <row r="54" spans="1:10">
      <c r="A54" s="88" t="s">
        <v>99</v>
      </c>
      <c r="B54" s="88">
        <v>9336</v>
      </c>
      <c r="C54" s="88"/>
      <c r="D54" s="88"/>
      <c r="E54" s="88"/>
      <c r="F54" s="88"/>
      <c r="G54" s="88"/>
      <c r="H54" s="88"/>
      <c r="I54" s="88"/>
      <c r="J54" s="88">
        <v>9336</v>
      </c>
    </row>
    <row r="55" spans="1:10">
      <c r="A55" s="88" t="s">
        <v>89</v>
      </c>
      <c r="B55" s="88">
        <v>9336</v>
      </c>
      <c r="C55" s="88"/>
      <c r="D55" s="88"/>
      <c r="E55" s="88"/>
      <c r="F55" s="88"/>
      <c r="G55" s="88"/>
      <c r="H55" s="88"/>
      <c r="I55" s="88"/>
      <c r="J55" s="88">
        <v>9336</v>
      </c>
    </row>
    <row r="56" spans="1:10">
      <c r="A56" s="88" t="s">
        <v>286</v>
      </c>
      <c r="B56" s="88">
        <v>4668</v>
      </c>
      <c r="C56" s="88">
        <v>1368</v>
      </c>
      <c r="D56" s="88">
        <v>1368</v>
      </c>
      <c r="E56" s="88">
        <v>1368</v>
      </c>
      <c r="F56" s="88">
        <v>342</v>
      </c>
      <c r="G56" s="88"/>
      <c r="H56" s="88"/>
      <c r="I56" s="88"/>
      <c r="J56" s="88">
        <v>9114</v>
      </c>
    </row>
    <row r="57" spans="1:10">
      <c r="A57" s="88" t="s">
        <v>335</v>
      </c>
      <c r="B57" s="88">
        <v>7002</v>
      </c>
      <c r="C57" s="88">
        <v>2052</v>
      </c>
      <c r="D57" s="88"/>
      <c r="E57" s="88"/>
      <c r="F57" s="88"/>
      <c r="G57" s="88"/>
      <c r="H57" s="88"/>
      <c r="I57" s="88"/>
      <c r="J57" s="88">
        <v>9054</v>
      </c>
    </row>
    <row r="58" spans="1:10">
      <c r="A58" s="88" t="s">
        <v>254</v>
      </c>
      <c r="B58" s="88">
        <v>4440</v>
      </c>
      <c r="C58" s="88">
        <v>1596</v>
      </c>
      <c r="D58" s="88">
        <v>1398</v>
      </c>
      <c r="E58" s="88">
        <v>1368</v>
      </c>
      <c r="F58" s="88"/>
      <c r="G58" s="88"/>
      <c r="H58" s="88"/>
      <c r="I58" s="88"/>
      <c r="J58" s="88">
        <v>8802</v>
      </c>
    </row>
    <row r="59" spans="1:10">
      <c r="A59" s="88" t="s">
        <v>157</v>
      </c>
      <c r="B59" s="88">
        <v>4668</v>
      </c>
      <c r="C59" s="88">
        <v>1368</v>
      </c>
      <c r="D59" s="88">
        <v>1368</v>
      </c>
      <c r="E59" s="88"/>
      <c r="F59" s="88">
        <v>1368</v>
      </c>
      <c r="G59" s="88"/>
      <c r="H59" s="88"/>
      <c r="I59" s="88"/>
      <c r="J59" s="88">
        <v>8772</v>
      </c>
    </row>
    <row r="60" spans="1:10">
      <c r="A60" s="88" t="s">
        <v>274</v>
      </c>
      <c r="B60" s="88">
        <v>3890</v>
      </c>
      <c r="C60" s="88">
        <v>1140</v>
      </c>
      <c r="D60" s="88">
        <v>1140</v>
      </c>
      <c r="E60" s="88">
        <v>1050</v>
      </c>
      <c r="F60" s="88">
        <v>1539</v>
      </c>
      <c r="G60" s="88"/>
      <c r="H60" s="88"/>
      <c r="I60" s="88"/>
      <c r="J60" s="88">
        <v>8759</v>
      </c>
    </row>
    <row r="61" spans="1:10">
      <c r="A61" s="88" t="s">
        <v>255</v>
      </c>
      <c r="B61" s="88">
        <v>3700</v>
      </c>
      <c r="C61" s="88">
        <v>2660</v>
      </c>
      <c r="D61" s="88">
        <v>1140</v>
      </c>
      <c r="E61" s="88">
        <v>1140</v>
      </c>
      <c r="F61" s="88"/>
      <c r="G61" s="88"/>
      <c r="H61" s="88"/>
      <c r="I61" s="88"/>
      <c r="J61" s="88">
        <v>8640</v>
      </c>
    </row>
    <row r="62" spans="1:10">
      <c r="A62" s="88" t="s">
        <v>261</v>
      </c>
      <c r="B62" s="88">
        <v>4668</v>
      </c>
      <c r="C62" s="88">
        <v>1368</v>
      </c>
      <c r="D62" s="88">
        <v>1368</v>
      </c>
      <c r="E62" s="88">
        <v>1140</v>
      </c>
      <c r="F62" s="88"/>
      <c r="G62" s="88"/>
      <c r="H62" s="88"/>
      <c r="I62" s="88"/>
      <c r="J62" s="88">
        <v>8544</v>
      </c>
    </row>
    <row r="63" spans="1:10">
      <c r="A63" s="88" t="s">
        <v>188</v>
      </c>
      <c r="B63" s="88">
        <v>3890</v>
      </c>
      <c r="C63" s="88">
        <v>1140</v>
      </c>
      <c r="D63" s="88">
        <v>1140</v>
      </c>
      <c r="E63" s="88">
        <v>1140</v>
      </c>
      <c r="F63" s="88">
        <v>1140</v>
      </c>
      <c r="G63" s="88"/>
      <c r="H63" s="88"/>
      <c r="I63" s="88"/>
      <c r="J63" s="88">
        <v>8450</v>
      </c>
    </row>
    <row r="64" spans="1:10">
      <c r="A64" s="88" t="s">
        <v>359</v>
      </c>
      <c r="B64" s="88">
        <v>6224</v>
      </c>
      <c r="C64" s="88">
        <v>1824</v>
      </c>
      <c r="D64" s="88"/>
      <c r="E64" s="88"/>
      <c r="F64" s="88"/>
      <c r="G64" s="88"/>
      <c r="H64" s="88"/>
      <c r="I64" s="88"/>
      <c r="J64" s="88">
        <v>8048</v>
      </c>
    </row>
    <row r="65" spans="1:10">
      <c r="A65" s="88" t="s">
        <v>138</v>
      </c>
      <c r="B65" s="88">
        <v>6224</v>
      </c>
      <c r="C65" s="88">
        <v>1824</v>
      </c>
      <c r="D65" s="88"/>
      <c r="E65" s="88"/>
      <c r="F65" s="88"/>
      <c r="G65" s="88"/>
      <c r="H65" s="88"/>
      <c r="I65" s="88"/>
      <c r="J65" s="88">
        <v>8048</v>
      </c>
    </row>
    <row r="66" spans="1:10">
      <c r="A66" s="88" t="s">
        <v>139</v>
      </c>
      <c r="B66" s="88">
        <v>6224</v>
      </c>
      <c r="C66" s="88">
        <v>1824</v>
      </c>
      <c r="D66" s="88"/>
      <c r="E66" s="88"/>
      <c r="F66" s="88"/>
      <c r="G66" s="88"/>
      <c r="H66" s="88"/>
      <c r="I66" s="88"/>
      <c r="J66" s="88">
        <v>8048</v>
      </c>
    </row>
    <row r="67" spans="1:10">
      <c r="A67" s="88" t="s">
        <v>132</v>
      </c>
      <c r="B67" s="88">
        <v>6224</v>
      </c>
      <c r="C67" s="88">
        <v>1824</v>
      </c>
      <c r="D67" s="88"/>
      <c r="E67" s="88"/>
      <c r="F67" s="88"/>
      <c r="G67" s="88"/>
      <c r="H67" s="88"/>
      <c r="I67" s="88"/>
      <c r="J67" s="88">
        <v>8048</v>
      </c>
    </row>
    <row r="68" spans="1:10">
      <c r="A68" s="88" t="s">
        <v>257</v>
      </c>
      <c r="B68" s="88">
        <v>4668</v>
      </c>
      <c r="C68" s="88">
        <v>362</v>
      </c>
      <c r="D68" s="88">
        <v>1140</v>
      </c>
      <c r="E68" s="88">
        <v>1140</v>
      </c>
      <c r="F68" s="88">
        <v>665</v>
      </c>
      <c r="G68" s="88"/>
      <c r="H68" s="88"/>
      <c r="I68" s="88"/>
      <c r="J68" s="88">
        <v>7975</v>
      </c>
    </row>
    <row r="69" spans="1:10">
      <c r="A69" s="88" t="s">
        <v>275</v>
      </c>
      <c r="B69" s="88">
        <v>4668</v>
      </c>
      <c r="C69" s="88">
        <v>1368</v>
      </c>
      <c r="D69" s="88"/>
      <c r="E69" s="88"/>
      <c r="F69" s="88">
        <v>1824</v>
      </c>
      <c r="G69" s="88"/>
      <c r="H69" s="88"/>
      <c r="I69" s="88"/>
      <c r="J69" s="88">
        <v>7860</v>
      </c>
    </row>
    <row r="70" spans="1:10">
      <c r="A70" s="88" t="s">
        <v>367</v>
      </c>
      <c r="B70" s="88">
        <v>7780</v>
      </c>
      <c r="C70" s="88"/>
      <c r="D70" s="88"/>
      <c r="E70" s="88"/>
      <c r="F70" s="88"/>
      <c r="G70" s="88"/>
      <c r="H70" s="88"/>
      <c r="I70" s="88"/>
      <c r="J70" s="88">
        <v>7780</v>
      </c>
    </row>
    <row r="71" spans="1:10">
      <c r="A71" s="88" t="s">
        <v>364</v>
      </c>
      <c r="B71" s="88">
        <v>7780</v>
      </c>
      <c r="C71" s="88"/>
      <c r="D71" s="88"/>
      <c r="E71" s="88"/>
      <c r="F71" s="88"/>
      <c r="G71" s="88"/>
      <c r="H71" s="88"/>
      <c r="I71" s="88"/>
      <c r="J71" s="88">
        <v>7780</v>
      </c>
    </row>
    <row r="72" spans="1:10">
      <c r="A72" s="88" t="s">
        <v>129</v>
      </c>
      <c r="B72" s="88">
        <v>7780</v>
      </c>
      <c r="C72" s="88"/>
      <c r="D72" s="88"/>
      <c r="E72" s="88"/>
      <c r="F72" s="88"/>
      <c r="G72" s="88"/>
      <c r="H72" s="88"/>
      <c r="I72" s="88"/>
      <c r="J72" s="88">
        <v>7780</v>
      </c>
    </row>
    <row r="73" spans="1:10">
      <c r="A73" s="88" t="s">
        <v>126</v>
      </c>
      <c r="B73" s="88">
        <v>7780</v>
      </c>
      <c r="C73" s="88"/>
      <c r="D73" s="88"/>
      <c r="E73" s="88"/>
      <c r="F73" s="88"/>
      <c r="G73" s="88"/>
      <c r="H73" s="88"/>
      <c r="I73" s="88"/>
      <c r="J73" s="88">
        <v>7780</v>
      </c>
    </row>
    <row r="74" spans="1:10">
      <c r="A74" s="88" t="s">
        <v>281</v>
      </c>
      <c r="B74" s="88">
        <v>3112</v>
      </c>
      <c r="C74" s="88">
        <v>912</v>
      </c>
      <c r="D74" s="88">
        <v>1824</v>
      </c>
      <c r="E74" s="88">
        <v>912</v>
      </c>
      <c r="F74" s="88">
        <v>912</v>
      </c>
      <c r="G74" s="88"/>
      <c r="H74" s="88"/>
      <c r="I74" s="88"/>
      <c r="J74" s="88">
        <v>7672</v>
      </c>
    </row>
    <row r="75" spans="1:10">
      <c r="A75" s="88" t="s">
        <v>167</v>
      </c>
      <c r="B75" s="88">
        <v>4668</v>
      </c>
      <c r="C75" s="88">
        <v>1596</v>
      </c>
      <c r="D75" s="88">
        <v>1368</v>
      </c>
      <c r="E75" s="88"/>
      <c r="F75" s="88"/>
      <c r="G75" s="88"/>
      <c r="H75" s="88"/>
      <c r="I75" s="88"/>
      <c r="J75" s="88">
        <v>7632</v>
      </c>
    </row>
    <row r="76" spans="1:10">
      <c r="A76" s="88" t="s">
        <v>301</v>
      </c>
      <c r="B76" s="88">
        <v>4668</v>
      </c>
      <c r="C76" s="88">
        <v>1368</v>
      </c>
      <c r="D76" s="88"/>
      <c r="E76" s="88">
        <v>1482</v>
      </c>
      <c r="F76" s="88"/>
      <c r="G76" s="88"/>
      <c r="H76" s="88"/>
      <c r="I76" s="88"/>
      <c r="J76" s="88">
        <v>7518</v>
      </c>
    </row>
    <row r="77" spans="1:10">
      <c r="A77" s="88" t="s">
        <v>158</v>
      </c>
      <c r="B77" s="88">
        <v>3890</v>
      </c>
      <c r="C77" s="88">
        <v>1140</v>
      </c>
      <c r="D77" s="88">
        <v>1140</v>
      </c>
      <c r="E77" s="88"/>
      <c r="F77" s="88">
        <v>1140</v>
      </c>
      <c r="G77" s="88"/>
      <c r="H77" s="88"/>
      <c r="I77" s="88"/>
      <c r="J77" s="88">
        <v>7310</v>
      </c>
    </row>
    <row r="78" spans="1:10">
      <c r="A78" s="88" t="s">
        <v>260</v>
      </c>
      <c r="B78" s="88">
        <v>3890</v>
      </c>
      <c r="C78" s="88">
        <v>1140</v>
      </c>
      <c r="D78" s="88">
        <v>1140</v>
      </c>
      <c r="E78" s="88">
        <v>1140</v>
      </c>
      <c r="F78" s="88"/>
      <c r="G78" s="88"/>
      <c r="H78" s="88"/>
      <c r="I78" s="88"/>
      <c r="J78" s="88">
        <v>7310</v>
      </c>
    </row>
    <row r="79" spans="1:10">
      <c r="A79" s="88" t="s">
        <v>258</v>
      </c>
      <c r="B79" s="88">
        <v>3890</v>
      </c>
      <c r="C79" s="88">
        <v>1140</v>
      </c>
      <c r="D79" s="88">
        <v>1140</v>
      </c>
      <c r="E79" s="88">
        <v>1140</v>
      </c>
      <c r="F79" s="88"/>
      <c r="G79" s="88"/>
      <c r="H79" s="88"/>
      <c r="I79" s="88"/>
      <c r="J79" s="88">
        <v>7310</v>
      </c>
    </row>
    <row r="80" spans="1:10">
      <c r="A80" s="88" t="s">
        <v>259</v>
      </c>
      <c r="B80" s="88">
        <v>3890</v>
      </c>
      <c r="C80" s="88">
        <v>1140</v>
      </c>
      <c r="D80" s="88">
        <v>1140</v>
      </c>
      <c r="E80" s="88">
        <v>1140</v>
      </c>
      <c r="F80" s="88"/>
      <c r="G80" s="88"/>
      <c r="H80" s="88"/>
      <c r="I80" s="88"/>
      <c r="J80" s="88">
        <v>7310</v>
      </c>
    </row>
    <row r="81" spans="1:10">
      <c r="A81" s="88" t="s">
        <v>295</v>
      </c>
      <c r="B81" s="88">
        <v>3890</v>
      </c>
      <c r="C81" s="88">
        <v>1140</v>
      </c>
      <c r="D81" s="88"/>
      <c r="E81" s="88"/>
      <c r="F81" s="88">
        <v>1140</v>
      </c>
      <c r="G81" s="88">
        <v>1140</v>
      </c>
      <c r="H81" s="88"/>
      <c r="I81" s="88"/>
      <c r="J81" s="88">
        <v>7310</v>
      </c>
    </row>
    <row r="82" spans="1:10">
      <c r="A82" s="88" t="s">
        <v>177</v>
      </c>
      <c r="B82" s="88">
        <v>4668</v>
      </c>
      <c r="C82" s="88">
        <v>1140</v>
      </c>
      <c r="D82" s="88">
        <v>1140</v>
      </c>
      <c r="E82" s="88"/>
      <c r="F82" s="88"/>
      <c r="G82" s="88"/>
      <c r="H82" s="88"/>
      <c r="I82" s="88"/>
      <c r="J82" s="88">
        <v>6948</v>
      </c>
    </row>
    <row r="83" spans="1:10">
      <c r="A83" s="88" t="s">
        <v>276</v>
      </c>
      <c r="B83" s="88">
        <v>3112</v>
      </c>
      <c r="C83" s="88">
        <v>912</v>
      </c>
      <c r="D83" s="88">
        <v>912</v>
      </c>
      <c r="E83" s="88">
        <v>912</v>
      </c>
      <c r="F83" s="88">
        <v>912</v>
      </c>
      <c r="G83" s="88"/>
      <c r="H83" s="88"/>
      <c r="I83" s="88"/>
      <c r="J83" s="88">
        <v>6760</v>
      </c>
    </row>
    <row r="84" spans="1:10">
      <c r="A84" s="88" t="s">
        <v>80</v>
      </c>
      <c r="B84" s="88">
        <v>3112</v>
      </c>
      <c r="C84" s="88">
        <v>912</v>
      </c>
      <c r="D84" s="88">
        <v>912</v>
      </c>
      <c r="E84" s="88">
        <v>912</v>
      </c>
      <c r="F84" s="88">
        <v>912</v>
      </c>
      <c r="G84" s="88"/>
      <c r="H84" s="88"/>
      <c r="I84" s="88"/>
      <c r="J84" s="88">
        <v>6760</v>
      </c>
    </row>
    <row r="85" spans="1:10">
      <c r="A85" s="88" t="s">
        <v>284</v>
      </c>
      <c r="B85" s="88">
        <v>3112</v>
      </c>
      <c r="C85" s="88">
        <v>912</v>
      </c>
      <c r="D85" s="88">
        <v>912</v>
      </c>
      <c r="E85" s="88">
        <v>912</v>
      </c>
      <c r="F85" s="88">
        <v>912</v>
      </c>
      <c r="G85" s="88"/>
      <c r="H85" s="88"/>
      <c r="I85" s="88"/>
      <c r="J85" s="88">
        <v>6760</v>
      </c>
    </row>
    <row r="86" spans="1:10">
      <c r="A86" s="88" t="s">
        <v>308</v>
      </c>
      <c r="B86" s="88">
        <v>4668</v>
      </c>
      <c r="C86" s="88"/>
      <c r="D86" s="88">
        <v>456</v>
      </c>
      <c r="E86" s="88">
        <v>228</v>
      </c>
      <c r="F86" s="88">
        <v>1368</v>
      </c>
      <c r="G86" s="88"/>
      <c r="H86" s="88"/>
      <c r="I86" s="88"/>
      <c r="J86" s="88">
        <v>6720</v>
      </c>
    </row>
    <row r="87" spans="1:10">
      <c r="A87" s="88" t="s">
        <v>252</v>
      </c>
      <c r="B87" s="88">
        <v>2960</v>
      </c>
      <c r="C87" s="88">
        <v>760</v>
      </c>
      <c r="D87" s="88">
        <v>1064</v>
      </c>
      <c r="E87" s="88">
        <v>912</v>
      </c>
      <c r="F87" s="88">
        <v>912</v>
      </c>
      <c r="G87" s="88"/>
      <c r="H87" s="88"/>
      <c r="I87" s="88"/>
      <c r="J87" s="88">
        <v>6608</v>
      </c>
    </row>
    <row r="88" spans="1:10">
      <c r="A88" s="88" t="s">
        <v>302</v>
      </c>
      <c r="B88" s="88">
        <v>3890</v>
      </c>
      <c r="C88" s="88">
        <v>1140</v>
      </c>
      <c r="D88" s="88"/>
      <c r="E88" s="88">
        <v>1520</v>
      </c>
      <c r="F88" s="88"/>
      <c r="G88" s="88"/>
      <c r="H88" s="88"/>
      <c r="I88" s="88"/>
      <c r="J88" s="88">
        <v>6550</v>
      </c>
    </row>
    <row r="89" spans="1:10">
      <c r="A89" s="88" t="s">
        <v>307</v>
      </c>
      <c r="B89" s="88">
        <v>3112</v>
      </c>
      <c r="C89" s="88">
        <v>912</v>
      </c>
      <c r="D89" s="88">
        <v>912</v>
      </c>
      <c r="E89" s="88">
        <v>912</v>
      </c>
      <c r="F89" s="88">
        <v>608</v>
      </c>
      <c r="G89" s="88"/>
      <c r="H89" s="88"/>
      <c r="I89" s="88"/>
      <c r="J89" s="88">
        <v>6456</v>
      </c>
    </row>
    <row r="90" spans="1:10">
      <c r="A90" s="88" t="s">
        <v>373</v>
      </c>
      <c r="B90" s="88">
        <v>6224</v>
      </c>
      <c r="C90" s="88"/>
      <c r="D90" s="88"/>
      <c r="E90" s="88"/>
      <c r="F90" s="88"/>
      <c r="G90" s="88"/>
      <c r="H90" s="88"/>
      <c r="I90" s="88"/>
      <c r="J90" s="88">
        <v>6224</v>
      </c>
    </row>
    <row r="91" spans="1:10">
      <c r="A91" s="88" t="s">
        <v>100</v>
      </c>
      <c r="B91" s="88">
        <v>6224</v>
      </c>
      <c r="C91" s="88"/>
      <c r="D91" s="88"/>
      <c r="E91" s="88"/>
      <c r="F91" s="88"/>
      <c r="G91" s="88"/>
      <c r="H91" s="88"/>
      <c r="I91" s="88"/>
      <c r="J91" s="88">
        <v>6224</v>
      </c>
    </row>
    <row r="92" spans="1:10">
      <c r="A92" s="88" t="s">
        <v>370</v>
      </c>
      <c r="B92" s="88">
        <v>6224</v>
      </c>
      <c r="C92" s="88"/>
      <c r="D92" s="88"/>
      <c r="E92" s="88"/>
      <c r="F92" s="88"/>
      <c r="G92" s="88"/>
      <c r="H92" s="88"/>
      <c r="I92" s="88"/>
      <c r="J92" s="88">
        <v>6224</v>
      </c>
    </row>
    <row r="93" spans="1:10">
      <c r="A93" s="88" t="s">
        <v>366</v>
      </c>
      <c r="B93" s="88">
        <v>6224</v>
      </c>
      <c r="C93" s="88"/>
      <c r="D93" s="88"/>
      <c r="E93" s="88"/>
      <c r="F93" s="88"/>
      <c r="G93" s="88"/>
      <c r="H93" s="88"/>
      <c r="I93" s="88"/>
      <c r="J93" s="88">
        <v>6224</v>
      </c>
    </row>
    <row r="94" spans="1:10">
      <c r="A94" s="88" t="s">
        <v>380</v>
      </c>
      <c r="B94" s="88">
        <v>6224</v>
      </c>
      <c r="C94" s="88"/>
      <c r="D94" s="88"/>
      <c r="E94" s="88"/>
      <c r="F94" s="88"/>
      <c r="G94" s="88"/>
      <c r="H94" s="88"/>
      <c r="I94" s="88"/>
      <c r="J94" s="88">
        <v>6224</v>
      </c>
    </row>
    <row r="95" spans="1:10">
      <c r="A95" s="88" t="s">
        <v>90</v>
      </c>
      <c r="B95" s="88">
        <v>6224</v>
      </c>
      <c r="C95" s="88"/>
      <c r="D95" s="88"/>
      <c r="E95" s="88"/>
      <c r="F95" s="88"/>
      <c r="G95" s="88"/>
      <c r="H95" s="88"/>
      <c r="I95" s="88"/>
      <c r="J95" s="88">
        <v>6224</v>
      </c>
    </row>
    <row r="96" spans="1:10">
      <c r="A96" s="88" t="s">
        <v>117</v>
      </c>
      <c r="B96" s="88">
        <v>6224</v>
      </c>
      <c r="C96" s="88"/>
      <c r="D96" s="88"/>
      <c r="E96" s="88"/>
      <c r="F96" s="88"/>
      <c r="G96" s="88"/>
      <c r="H96" s="88"/>
      <c r="I96" s="88"/>
      <c r="J96" s="88">
        <v>6224</v>
      </c>
    </row>
    <row r="97" spans="1:10">
      <c r="A97" s="88" t="s">
        <v>116</v>
      </c>
      <c r="B97" s="88">
        <v>6224</v>
      </c>
      <c r="C97" s="88"/>
      <c r="D97" s="88"/>
      <c r="E97" s="88"/>
      <c r="F97" s="88"/>
      <c r="G97" s="88"/>
      <c r="H97" s="88"/>
      <c r="I97" s="88"/>
      <c r="J97" s="88">
        <v>6224</v>
      </c>
    </row>
    <row r="98" spans="1:10">
      <c r="A98" s="88" t="s">
        <v>111</v>
      </c>
      <c r="B98" s="88">
        <v>6224</v>
      </c>
      <c r="C98" s="88"/>
      <c r="D98" s="88"/>
      <c r="E98" s="88"/>
      <c r="F98" s="88"/>
      <c r="G98" s="88"/>
      <c r="H98" s="88"/>
      <c r="I98" s="88"/>
      <c r="J98" s="88">
        <v>6224</v>
      </c>
    </row>
    <row r="99" spans="1:10">
      <c r="A99" s="88" t="s">
        <v>311</v>
      </c>
      <c r="B99" s="88">
        <v>6224</v>
      </c>
      <c r="C99" s="88"/>
      <c r="D99" s="88"/>
      <c r="E99" s="88"/>
      <c r="F99" s="88"/>
      <c r="G99" s="88"/>
      <c r="H99" s="88"/>
      <c r="I99" s="88"/>
      <c r="J99" s="88">
        <v>6224</v>
      </c>
    </row>
    <row r="100" spans="1:10">
      <c r="A100" s="88" t="s">
        <v>372</v>
      </c>
      <c r="B100" s="88">
        <v>6224</v>
      </c>
      <c r="C100" s="88"/>
      <c r="D100" s="88"/>
      <c r="E100" s="88"/>
      <c r="F100" s="88"/>
      <c r="G100" s="88"/>
      <c r="H100" s="88"/>
      <c r="I100" s="88"/>
      <c r="J100" s="88">
        <v>6224</v>
      </c>
    </row>
    <row r="101" spans="1:10">
      <c r="A101" s="88" t="s">
        <v>265</v>
      </c>
      <c r="B101" s="88">
        <v>3890</v>
      </c>
      <c r="C101" s="88">
        <v>1140</v>
      </c>
      <c r="D101" s="88">
        <v>1140</v>
      </c>
      <c r="E101" s="88"/>
      <c r="F101" s="88"/>
      <c r="G101" s="88"/>
      <c r="H101" s="88"/>
      <c r="I101" s="88"/>
      <c r="J101" s="88">
        <v>6170</v>
      </c>
    </row>
    <row r="102" spans="1:10">
      <c r="A102" s="88" t="s">
        <v>299</v>
      </c>
      <c r="B102" s="88">
        <v>3112</v>
      </c>
      <c r="C102" s="88">
        <v>912</v>
      </c>
      <c r="D102" s="88"/>
      <c r="E102" s="88">
        <v>304</v>
      </c>
      <c r="F102" s="88">
        <v>1824</v>
      </c>
      <c r="G102" s="88"/>
      <c r="H102" s="88"/>
      <c r="I102" s="88"/>
      <c r="J102" s="88">
        <v>6152</v>
      </c>
    </row>
    <row r="103" spans="1:10">
      <c r="A103" s="88" t="s">
        <v>133</v>
      </c>
      <c r="B103" s="88">
        <v>4668</v>
      </c>
      <c r="C103" s="88">
        <v>1368</v>
      </c>
      <c r="D103" s="88"/>
      <c r="E103" s="88"/>
      <c r="F103" s="88"/>
      <c r="G103" s="88"/>
      <c r="H103" s="88"/>
      <c r="I103" s="88"/>
      <c r="J103" s="88">
        <v>6036</v>
      </c>
    </row>
    <row r="104" spans="1:10">
      <c r="A104" s="88" t="s">
        <v>131</v>
      </c>
      <c r="B104" s="88">
        <v>4668</v>
      </c>
      <c r="C104" s="88">
        <v>1368</v>
      </c>
      <c r="D104" s="88"/>
      <c r="E104" s="88"/>
      <c r="F104" s="88"/>
      <c r="G104" s="88"/>
      <c r="H104" s="88"/>
      <c r="I104" s="88"/>
      <c r="J104" s="88">
        <v>6036</v>
      </c>
    </row>
    <row r="105" spans="1:10">
      <c r="A105" s="88" t="s">
        <v>142</v>
      </c>
      <c r="B105" s="88">
        <v>4668</v>
      </c>
      <c r="C105" s="88">
        <v>1368</v>
      </c>
      <c r="D105" s="88"/>
      <c r="E105" s="88"/>
      <c r="F105" s="88"/>
      <c r="G105" s="88"/>
      <c r="H105" s="88"/>
      <c r="I105" s="88"/>
      <c r="J105" s="88">
        <v>6036</v>
      </c>
    </row>
    <row r="106" spans="1:10">
      <c r="A106" s="88" t="s">
        <v>290</v>
      </c>
      <c r="B106" s="88">
        <v>4668</v>
      </c>
      <c r="C106" s="88">
        <v>1368</v>
      </c>
      <c r="D106" s="88"/>
      <c r="E106" s="88"/>
      <c r="F106" s="88"/>
      <c r="G106" s="88"/>
      <c r="H106" s="88"/>
      <c r="I106" s="88"/>
      <c r="J106" s="88">
        <v>6036</v>
      </c>
    </row>
    <row r="107" spans="1:10">
      <c r="A107" s="88" t="s">
        <v>273</v>
      </c>
      <c r="B107" s="88">
        <v>4668</v>
      </c>
      <c r="C107" s="88">
        <v>1368</v>
      </c>
      <c r="D107" s="88"/>
      <c r="E107" s="88"/>
      <c r="F107" s="88"/>
      <c r="G107" s="88"/>
      <c r="H107" s="88"/>
      <c r="I107" s="88"/>
      <c r="J107" s="88">
        <v>6036</v>
      </c>
    </row>
    <row r="108" spans="1:10">
      <c r="A108" s="88" t="s">
        <v>317</v>
      </c>
      <c r="B108" s="88">
        <v>3890</v>
      </c>
      <c r="C108" s="88"/>
      <c r="D108" s="88">
        <v>1520</v>
      </c>
      <c r="E108" s="88">
        <v>570</v>
      </c>
      <c r="F108" s="88"/>
      <c r="G108" s="88"/>
      <c r="H108" s="88"/>
      <c r="I108" s="88"/>
      <c r="J108" s="88">
        <v>5980</v>
      </c>
    </row>
    <row r="109" spans="1:10">
      <c r="A109" s="88" t="s">
        <v>323</v>
      </c>
      <c r="B109" s="88">
        <v>3112</v>
      </c>
      <c r="C109" s="88">
        <v>912</v>
      </c>
      <c r="D109" s="88">
        <v>912</v>
      </c>
      <c r="E109" s="88">
        <v>912</v>
      </c>
      <c r="F109" s="88"/>
      <c r="G109" s="88"/>
      <c r="H109" s="88"/>
      <c r="I109" s="88"/>
      <c r="J109" s="88">
        <v>5848</v>
      </c>
    </row>
    <row r="110" spans="1:10">
      <c r="A110" s="88" t="s">
        <v>200</v>
      </c>
      <c r="B110" s="88">
        <v>3112</v>
      </c>
      <c r="C110" s="88"/>
      <c r="D110" s="88">
        <v>912</v>
      </c>
      <c r="E110" s="88">
        <v>912</v>
      </c>
      <c r="F110" s="88">
        <v>912</v>
      </c>
      <c r="G110" s="88"/>
      <c r="H110" s="88"/>
      <c r="I110" s="88"/>
      <c r="J110" s="88">
        <v>5848</v>
      </c>
    </row>
    <row r="111" spans="1:10">
      <c r="A111" s="88" t="s">
        <v>164</v>
      </c>
      <c r="B111" s="88">
        <v>3112</v>
      </c>
      <c r="C111" s="88">
        <v>912</v>
      </c>
      <c r="D111" s="88">
        <v>912</v>
      </c>
      <c r="E111" s="88">
        <v>912</v>
      </c>
      <c r="F111" s="88"/>
      <c r="G111" s="88"/>
      <c r="H111" s="88"/>
      <c r="I111" s="88"/>
      <c r="J111" s="88">
        <v>5848</v>
      </c>
    </row>
    <row r="112" spans="1:10">
      <c r="A112" s="88" t="s">
        <v>312</v>
      </c>
      <c r="B112" s="88">
        <v>3112</v>
      </c>
      <c r="C112" s="88">
        <v>912</v>
      </c>
      <c r="D112" s="88">
        <v>912</v>
      </c>
      <c r="E112" s="88"/>
      <c r="F112" s="88"/>
      <c r="G112" s="88">
        <v>912</v>
      </c>
      <c r="H112" s="88"/>
      <c r="I112" s="88"/>
      <c r="J112" s="88">
        <v>5848</v>
      </c>
    </row>
    <row r="113" spans="1:10">
      <c r="A113" s="88" t="s">
        <v>310</v>
      </c>
      <c r="B113" s="88">
        <v>3112</v>
      </c>
      <c r="C113" s="88"/>
      <c r="D113" s="88">
        <v>912</v>
      </c>
      <c r="E113" s="88">
        <v>912</v>
      </c>
      <c r="F113" s="88">
        <v>912</v>
      </c>
      <c r="G113" s="88"/>
      <c r="H113" s="88"/>
      <c r="I113" s="88"/>
      <c r="J113" s="88">
        <v>5848</v>
      </c>
    </row>
    <row r="114" spans="1:10">
      <c r="A114" s="88" t="s">
        <v>136</v>
      </c>
      <c r="B114" s="88">
        <v>3890</v>
      </c>
      <c r="C114" s="88">
        <v>1824</v>
      </c>
      <c r="D114" s="88"/>
      <c r="E114" s="88"/>
      <c r="F114" s="88"/>
      <c r="G114" s="88"/>
      <c r="H114" s="88"/>
      <c r="I114" s="88"/>
      <c r="J114" s="88">
        <v>5714</v>
      </c>
    </row>
    <row r="115" spans="1:10">
      <c r="A115" s="88" t="s">
        <v>300</v>
      </c>
      <c r="B115" s="88">
        <v>4696</v>
      </c>
      <c r="C115" s="88">
        <v>912</v>
      </c>
      <c r="D115" s="88"/>
      <c r="E115" s="88"/>
      <c r="F115" s="88"/>
      <c r="G115" s="88"/>
      <c r="H115" s="88"/>
      <c r="I115" s="88"/>
      <c r="J115" s="88">
        <v>5608</v>
      </c>
    </row>
    <row r="116" spans="1:10">
      <c r="A116" s="88" t="s">
        <v>318</v>
      </c>
      <c r="B116" s="88">
        <v>3112</v>
      </c>
      <c r="C116" s="88"/>
      <c r="D116" s="88">
        <v>1216</v>
      </c>
      <c r="E116" s="88"/>
      <c r="F116" s="88">
        <v>912</v>
      </c>
      <c r="G116" s="88"/>
      <c r="H116" s="88"/>
      <c r="I116" s="88"/>
      <c r="J116" s="88">
        <v>5240</v>
      </c>
    </row>
    <row r="117" spans="1:10">
      <c r="A117" s="88" t="s">
        <v>251</v>
      </c>
      <c r="B117" s="88">
        <v>5070</v>
      </c>
      <c r="C117" s="88"/>
      <c r="D117" s="88"/>
      <c r="E117" s="88"/>
      <c r="F117" s="88"/>
      <c r="G117" s="88"/>
      <c r="H117" s="88"/>
      <c r="I117" s="88"/>
      <c r="J117" s="88">
        <v>5070</v>
      </c>
    </row>
    <row r="118" spans="1:10">
      <c r="A118" s="88" t="s">
        <v>180</v>
      </c>
      <c r="B118" s="88"/>
      <c r="C118" s="88">
        <v>5016</v>
      </c>
      <c r="D118" s="88"/>
      <c r="E118" s="88"/>
      <c r="F118" s="88"/>
      <c r="G118" s="88"/>
      <c r="H118" s="88"/>
      <c r="I118" s="88"/>
      <c r="J118" s="88">
        <v>5016</v>
      </c>
    </row>
    <row r="119" spans="1:10">
      <c r="A119" s="88" t="s">
        <v>140</v>
      </c>
      <c r="B119" s="88"/>
      <c r="C119" s="88">
        <v>5016</v>
      </c>
      <c r="D119" s="88"/>
      <c r="E119" s="88"/>
      <c r="F119" s="88"/>
      <c r="G119" s="88"/>
      <c r="H119" s="88"/>
      <c r="I119" s="88"/>
      <c r="J119" s="88">
        <v>5016</v>
      </c>
    </row>
    <row r="120" spans="1:10">
      <c r="A120" s="88" t="s">
        <v>262</v>
      </c>
      <c r="B120" s="88">
        <v>3112</v>
      </c>
      <c r="C120" s="88">
        <v>912</v>
      </c>
      <c r="D120" s="88">
        <v>912</v>
      </c>
      <c r="E120" s="88"/>
      <c r="F120" s="88"/>
      <c r="G120" s="88"/>
      <c r="H120" s="88"/>
      <c r="I120" s="88"/>
      <c r="J120" s="88">
        <v>4936</v>
      </c>
    </row>
    <row r="121" spans="1:10">
      <c r="A121" s="88" t="s">
        <v>269</v>
      </c>
      <c r="B121" s="88">
        <v>3112</v>
      </c>
      <c r="C121" s="88">
        <v>912</v>
      </c>
      <c r="D121" s="88">
        <v>912</v>
      </c>
      <c r="E121" s="88"/>
      <c r="F121" s="88"/>
      <c r="G121" s="88"/>
      <c r="H121" s="88"/>
      <c r="I121" s="88"/>
      <c r="J121" s="88">
        <v>4936</v>
      </c>
    </row>
    <row r="122" spans="1:10">
      <c r="A122" s="88" t="s">
        <v>279</v>
      </c>
      <c r="B122" s="88">
        <v>3112</v>
      </c>
      <c r="C122" s="88">
        <v>912</v>
      </c>
      <c r="D122" s="88">
        <v>912</v>
      </c>
      <c r="E122" s="88"/>
      <c r="F122" s="88"/>
      <c r="G122" s="88"/>
      <c r="H122" s="88"/>
      <c r="I122" s="88"/>
      <c r="J122" s="88">
        <v>4936</v>
      </c>
    </row>
    <row r="123" spans="1:10">
      <c r="A123" s="88" t="s">
        <v>166</v>
      </c>
      <c r="B123" s="88">
        <v>3112</v>
      </c>
      <c r="C123" s="88">
        <v>912</v>
      </c>
      <c r="D123" s="88"/>
      <c r="E123" s="88">
        <v>912</v>
      </c>
      <c r="F123" s="88"/>
      <c r="G123" s="88"/>
      <c r="H123" s="88"/>
      <c r="I123" s="88"/>
      <c r="J123" s="88">
        <v>4936</v>
      </c>
    </row>
    <row r="124" spans="1:10">
      <c r="A124" s="88" t="s">
        <v>285</v>
      </c>
      <c r="B124" s="88">
        <v>3112</v>
      </c>
      <c r="C124" s="88">
        <v>912</v>
      </c>
      <c r="D124" s="88">
        <v>912</v>
      </c>
      <c r="E124" s="88"/>
      <c r="F124" s="88"/>
      <c r="G124" s="88"/>
      <c r="H124" s="88"/>
      <c r="I124" s="88"/>
      <c r="J124" s="88">
        <v>4936</v>
      </c>
    </row>
    <row r="125" spans="1:10">
      <c r="A125" s="88" t="s">
        <v>268</v>
      </c>
      <c r="B125" s="88">
        <v>3112</v>
      </c>
      <c r="C125" s="88">
        <v>912</v>
      </c>
      <c r="D125" s="88">
        <v>912</v>
      </c>
      <c r="E125" s="88"/>
      <c r="F125" s="88"/>
      <c r="G125" s="88"/>
      <c r="H125" s="88"/>
      <c r="I125" s="88"/>
      <c r="J125" s="88">
        <v>4936</v>
      </c>
    </row>
    <row r="126" spans="1:10">
      <c r="A126" s="88" t="s">
        <v>272</v>
      </c>
      <c r="B126" s="88">
        <v>3112</v>
      </c>
      <c r="C126" s="88">
        <v>912</v>
      </c>
      <c r="D126" s="88">
        <v>912</v>
      </c>
      <c r="E126" s="88"/>
      <c r="F126" s="88"/>
      <c r="G126" s="88"/>
      <c r="H126" s="88"/>
      <c r="I126" s="88"/>
      <c r="J126" s="88">
        <v>4936</v>
      </c>
    </row>
    <row r="127" spans="1:10">
      <c r="A127" s="88" t="s">
        <v>282</v>
      </c>
      <c r="B127" s="88">
        <v>3112</v>
      </c>
      <c r="C127" s="88">
        <v>912</v>
      </c>
      <c r="D127" s="88">
        <v>912</v>
      </c>
      <c r="E127" s="88"/>
      <c r="F127" s="88"/>
      <c r="G127" s="88"/>
      <c r="H127" s="88"/>
      <c r="I127" s="88"/>
      <c r="J127" s="88">
        <v>4936</v>
      </c>
    </row>
    <row r="128" spans="1:10">
      <c r="A128" s="88" t="s">
        <v>147</v>
      </c>
      <c r="B128" s="88">
        <v>3112</v>
      </c>
      <c r="C128" s="88">
        <v>912</v>
      </c>
      <c r="D128" s="88">
        <v>912</v>
      </c>
      <c r="E128" s="88"/>
      <c r="F128" s="88"/>
      <c r="G128" s="88"/>
      <c r="H128" s="88"/>
      <c r="I128" s="88"/>
      <c r="J128" s="88">
        <v>4936</v>
      </c>
    </row>
    <row r="129" spans="1:10">
      <c r="A129" s="88" t="s">
        <v>296</v>
      </c>
      <c r="B129" s="88">
        <v>3890</v>
      </c>
      <c r="C129" s="88">
        <v>912</v>
      </c>
      <c r="D129" s="88"/>
      <c r="E129" s="88"/>
      <c r="F129" s="88"/>
      <c r="G129" s="88"/>
      <c r="H129" s="88"/>
      <c r="I129" s="88"/>
      <c r="J129" s="88">
        <v>4802</v>
      </c>
    </row>
    <row r="130" spans="1:10">
      <c r="A130" s="88" t="s">
        <v>103</v>
      </c>
      <c r="B130" s="88">
        <v>4668</v>
      </c>
      <c r="C130" s="88"/>
      <c r="D130" s="88"/>
      <c r="E130" s="88"/>
      <c r="F130" s="88"/>
      <c r="G130" s="88"/>
      <c r="H130" s="88"/>
      <c r="I130" s="88"/>
      <c r="J130" s="88">
        <v>4668</v>
      </c>
    </row>
    <row r="131" spans="1:10">
      <c r="A131" s="88" t="s">
        <v>343</v>
      </c>
      <c r="B131" s="88">
        <v>4668</v>
      </c>
      <c r="C131" s="88"/>
      <c r="D131" s="88"/>
      <c r="E131" s="88"/>
      <c r="F131" s="88"/>
      <c r="G131" s="88"/>
      <c r="H131" s="88"/>
      <c r="I131" s="88"/>
      <c r="J131" s="88">
        <v>4668</v>
      </c>
    </row>
    <row r="132" spans="1:10">
      <c r="A132" s="88" t="s">
        <v>381</v>
      </c>
      <c r="B132" s="88">
        <v>4668</v>
      </c>
      <c r="C132" s="88"/>
      <c r="D132" s="88"/>
      <c r="E132" s="88"/>
      <c r="F132" s="88"/>
      <c r="G132" s="88"/>
      <c r="H132" s="88"/>
      <c r="I132" s="88"/>
      <c r="J132" s="88">
        <v>4668</v>
      </c>
    </row>
    <row r="133" spans="1:10">
      <c r="A133" s="88" t="s">
        <v>374</v>
      </c>
      <c r="B133" s="88">
        <v>4668</v>
      </c>
      <c r="C133" s="88"/>
      <c r="D133" s="88"/>
      <c r="E133" s="88"/>
      <c r="F133" s="88"/>
      <c r="G133" s="88"/>
      <c r="H133" s="88"/>
      <c r="I133" s="88"/>
      <c r="J133" s="88">
        <v>4668</v>
      </c>
    </row>
    <row r="134" spans="1:10">
      <c r="A134" s="88" t="s">
        <v>101</v>
      </c>
      <c r="B134" s="88">
        <v>4668</v>
      </c>
      <c r="C134" s="88"/>
      <c r="D134" s="88"/>
      <c r="E134" s="88"/>
      <c r="F134" s="88"/>
      <c r="G134" s="88"/>
      <c r="H134" s="88"/>
      <c r="I134" s="88"/>
      <c r="J134" s="88">
        <v>4668</v>
      </c>
    </row>
    <row r="135" spans="1:10">
      <c r="A135" s="88" t="s">
        <v>360</v>
      </c>
      <c r="B135" s="88">
        <v>4668</v>
      </c>
      <c r="C135" s="88"/>
      <c r="D135" s="88"/>
      <c r="E135" s="88"/>
      <c r="F135" s="88"/>
      <c r="G135" s="88"/>
      <c r="H135" s="88"/>
      <c r="I135" s="88"/>
      <c r="J135" s="88">
        <v>4668</v>
      </c>
    </row>
    <row r="136" spans="1:10">
      <c r="A136" s="88" t="s">
        <v>291</v>
      </c>
      <c r="B136" s="88">
        <v>4668</v>
      </c>
      <c r="C136" s="88"/>
      <c r="D136" s="88"/>
      <c r="E136" s="88"/>
      <c r="F136" s="88"/>
      <c r="G136" s="88"/>
      <c r="H136" s="88"/>
      <c r="I136" s="88"/>
      <c r="J136" s="88">
        <v>4668</v>
      </c>
    </row>
    <row r="137" spans="1:10">
      <c r="A137" s="88" t="s">
        <v>280</v>
      </c>
      <c r="B137" s="88">
        <v>2334</v>
      </c>
      <c r="C137" s="88">
        <v>684</v>
      </c>
      <c r="D137" s="88">
        <v>684</v>
      </c>
      <c r="E137" s="88">
        <v>684</v>
      </c>
      <c r="F137" s="88">
        <v>228</v>
      </c>
      <c r="G137" s="88"/>
      <c r="H137" s="88"/>
      <c r="I137" s="88"/>
      <c r="J137" s="88">
        <v>4614</v>
      </c>
    </row>
    <row r="138" spans="1:10">
      <c r="A138" s="88" t="s">
        <v>104</v>
      </c>
      <c r="B138" s="88">
        <v>4468</v>
      </c>
      <c r="C138" s="88"/>
      <c r="D138" s="88"/>
      <c r="E138" s="88"/>
      <c r="F138" s="88"/>
      <c r="G138" s="88"/>
      <c r="H138" s="88"/>
      <c r="I138" s="88"/>
      <c r="J138" s="88">
        <v>4468</v>
      </c>
    </row>
    <row r="139" spans="1:10">
      <c r="A139" s="88" t="s">
        <v>161</v>
      </c>
      <c r="B139" s="88">
        <v>2334</v>
      </c>
      <c r="C139" s="88">
        <v>684</v>
      </c>
      <c r="D139" s="88">
        <v>684</v>
      </c>
      <c r="E139" s="88"/>
      <c r="F139" s="88">
        <v>684</v>
      </c>
      <c r="G139" s="88"/>
      <c r="H139" s="88"/>
      <c r="I139" s="88"/>
      <c r="J139" s="88">
        <v>4386</v>
      </c>
    </row>
    <row r="140" spans="1:10">
      <c r="A140" s="88" t="s">
        <v>298</v>
      </c>
      <c r="B140" s="88">
        <v>2334</v>
      </c>
      <c r="C140" s="88">
        <v>684</v>
      </c>
      <c r="D140" s="88">
        <v>684</v>
      </c>
      <c r="E140" s="88">
        <v>684</v>
      </c>
      <c r="F140" s="88"/>
      <c r="G140" s="88"/>
      <c r="H140" s="88"/>
      <c r="I140" s="88"/>
      <c r="J140" s="88">
        <v>4386</v>
      </c>
    </row>
    <row r="141" spans="1:10">
      <c r="A141" s="88" t="s">
        <v>338</v>
      </c>
      <c r="B141" s="88">
        <v>2334</v>
      </c>
      <c r="C141" s="88">
        <v>684</v>
      </c>
      <c r="D141" s="88">
        <v>684</v>
      </c>
      <c r="E141" s="88">
        <v>684</v>
      </c>
      <c r="F141" s="88"/>
      <c r="G141" s="88"/>
      <c r="H141" s="88"/>
      <c r="I141" s="88"/>
      <c r="J141" s="88">
        <v>4386</v>
      </c>
    </row>
    <row r="142" spans="1:10">
      <c r="A142" s="88" t="s">
        <v>288</v>
      </c>
      <c r="B142" s="88">
        <v>2334</v>
      </c>
      <c r="C142" s="88">
        <v>684</v>
      </c>
      <c r="D142" s="88"/>
      <c r="E142" s="88">
        <v>684</v>
      </c>
      <c r="F142" s="88">
        <v>684</v>
      </c>
      <c r="G142" s="88"/>
      <c r="H142" s="88"/>
      <c r="I142" s="88"/>
      <c r="J142" s="88">
        <v>4386</v>
      </c>
    </row>
    <row r="143" spans="1:10">
      <c r="A143" s="88" t="s">
        <v>371</v>
      </c>
      <c r="B143" s="88"/>
      <c r="C143" s="88">
        <v>4104</v>
      </c>
      <c r="D143" s="88"/>
      <c r="E143" s="88"/>
      <c r="F143" s="88"/>
      <c r="G143" s="88"/>
      <c r="H143" s="88"/>
      <c r="I143" s="88"/>
      <c r="J143" s="88">
        <v>4104</v>
      </c>
    </row>
    <row r="144" spans="1:10">
      <c r="A144" s="88" t="s">
        <v>134</v>
      </c>
      <c r="B144" s="88">
        <v>3112</v>
      </c>
      <c r="C144" s="88">
        <v>912</v>
      </c>
      <c r="D144" s="88"/>
      <c r="E144" s="88"/>
      <c r="F144" s="88"/>
      <c r="G144" s="88"/>
      <c r="H144" s="88"/>
      <c r="I144" s="88"/>
      <c r="J144" s="88">
        <v>4024</v>
      </c>
    </row>
    <row r="145" spans="1:10">
      <c r="A145" s="88" t="s">
        <v>297</v>
      </c>
      <c r="B145" s="88">
        <v>3112</v>
      </c>
      <c r="C145" s="88">
        <v>912</v>
      </c>
      <c r="D145" s="88"/>
      <c r="E145" s="88"/>
      <c r="F145" s="88"/>
      <c r="G145" s="88"/>
      <c r="H145" s="88"/>
      <c r="I145" s="88"/>
      <c r="J145" s="88">
        <v>4024</v>
      </c>
    </row>
    <row r="146" spans="1:10">
      <c r="A146" s="88" t="s">
        <v>289</v>
      </c>
      <c r="B146" s="88">
        <v>3112</v>
      </c>
      <c r="C146" s="88">
        <v>912</v>
      </c>
      <c r="D146" s="88"/>
      <c r="E146" s="88"/>
      <c r="F146" s="88"/>
      <c r="G146" s="88"/>
      <c r="H146" s="88"/>
      <c r="I146" s="88"/>
      <c r="J146" s="88">
        <v>4024</v>
      </c>
    </row>
    <row r="147" spans="1:10">
      <c r="A147" s="88" t="s">
        <v>137</v>
      </c>
      <c r="B147" s="88">
        <v>3112</v>
      </c>
      <c r="C147" s="88">
        <v>912</v>
      </c>
      <c r="D147" s="88"/>
      <c r="E147" s="88"/>
      <c r="F147" s="88"/>
      <c r="G147" s="88"/>
      <c r="H147" s="88"/>
      <c r="I147" s="88"/>
      <c r="J147" s="88">
        <v>4024</v>
      </c>
    </row>
    <row r="148" spans="1:10">
      <c r="A148" s="88" t="s">
        <v>349</v>
      </c>
      <c r="B148" s="88">
        <v>3112</v>
      </c>
      <c r="C148" s="88">
        <v>912</v>
      </c>
      <c r="D148" s="88"/>
      <c r="E148" s="88"/>
      <c r="F148" s="88"/>
      <c r="G148" s="88"/>
      <c r="H148" s="88"/>
      <c r="I148" s="88"/>
      <c r="J148" s="88">
        <v>4024</v>
      </c>
    </row>
    <row r="149" spans="1:10">
      <c r="A149" s="88" t="s">
        <v>292</v>
      </c>
      <c r="B149" s="88">
        <v>3112</v>
      </c>
      <c r="C149" s="88">
        <v>912</v>
      </c>
      <c r="D149" s="88"/>
      <c r="E149" s="88"/>
      <c r="F149" s="88"/>
      <c r="G149" s="88"/>
      <c r="H149" s="88"/>
      <c r="I149" s="88"/>
      <c r="J149" s="88">
        <v>4024</v>
      </c>
    </row>
    <row r="150" spans="1:10">
      <c r="A150" s="88" t="s">
        <v>361</v>
      </c>
      <c r="B150" s="88">
        <v>3890</v>
      </c>
      <c r="C150" s="88"/>
      <c r="D150" s="88"/>
      <c r="E150" s="88"/>
      <c r="F150" s="88"/>
      <c r="G150" s="88"/>
      <c r="H150" s="88"/>
      <c r="I150" s="88"/>
      <c r="J150" s="88">
        <v>3890</v>
      </c>
    </row>
    <row r="151" spans="1:10">
      <c r="A151" s="88" t="s">
        <v>148</v>
      </c>
      <c r="B151" s="88">
        <v>2334</v>
      </c>
      <c r="C151" s="88">
        <v>684</v>
      </c>
      <c r="D151" s="88">
        <v>684</v>
      </c>
      <c r="E151" s="88"/>
      <c r="F151" s="88"/>
      <c r="G151" s="88"/>
      <c r="H151" s="88"/>
      <c r="I151" s="88"/>
      <c r="J151" s="88">
        <v>3702</v>
      </c>
    </row>
    <row r="152" spans="1:10">
      <c r="A152" s="88" t="s">
        <v>320</v>
      </c>
      <c r="B152" s="88">
        <v>2334</v>
      </c>
      <c r="C152" s="88"/>
      <c r="D152" s="88"/>
      <c r="E152" s="88">
        <v>684</v>
      </c>
      <c r="F152" s="88">
        <v>684</v>
      </c>
      <c r="G152" s="88"/>
      <c r="H152" s="88"/>
      <c r="I152" s="88"/>
      <c r="J152" s="88">
        <v>3702</v>
      </c>
    </row>
    <row r="153" spans="1:10">
      <c r="A153" s="88" t="s">
        <v>334</v>
      </c>
      <c r="B153" s="88">
        <v>2334</v>
      </c>
      <c r="C153" s="88">
        <v>684</v>
      </c>
      <c r="D153" s="88">
        <v>684</v>
      </c>
      <c r="E153" s="88"/>
      <c r="F153" s="88"/>
      <c r="G153" s="88"/>
      <c r="H153" s="88"/>
      <c r="I153" s="88"/>
      <c r="J153" s="88">
        <v>3702</v>
      </c>
    </row>
    <row r="154" spans="1:10">
      <c r="A154" s="88" t="s">
        <v>145</v>
      </c>
      <c r="B154" s="88">
        <v>2334</v>
      </c>
      <c r="C154" s="88">
        <v>684</v>
      </c>
      <c r="D154" s="88">
        <v>684</v>
      </c>
      <c r="E154" s="88"/>
      <c r="F154" s="88"/>
      <c r="G154" s="88"/>
      <c r="H154" s="88"/>
      <c r="I154" s="88"/>
      <c r="J154" s="88">
        <v>3702</v>
      </c>
    </row>
    <row r="155" spans="1:10">
      <c r="A155" s="88" t="s">
        <v>198</v>
      </c>
      <c r="B155" s="88"/>
      <c r="C155" s="88">
        <v>912</v>
      </c>
      <c r="D155" s="88">
        <v>912</v>
      </c>
      <c r="E155" s="88"/>
      <c r="F155" s="88">
        <v>912</v>
      </c>
      <c r="G155" s="88">
        <v>912</v>
      </c>
      <c r="H155" s="88"/>
      <c r="I155" s="88"/>
      <c r="J155" s="88">
        <v>3648</v>
      </c>
    </row>
    <row r="156" spans="1:10">
      <c r="A156" s="88" t="s">
        <v>250</v>
      </c>
      <c r="B156" s="88">
        <v>3380</v>
      </c>
      <c r="C156" s="88"/>
      <c r="D156" s="88"/>
      <c r="E156" s="88"/>
      <c r="F156" s="88"/>
      <c r="G156" s="88"/>
      <c r="H156" s="88"/>
      <c r="I156" s="88"/>
      <c r="J156" s="88">
        <v>3380</v>
      </c>
    </row>
    <row r="157" spans="1:10">
      <c r="A157" s="88" t="s">
        <v>249</v>
      </c>
      <c r="B157" s="88">
        <v>3380</v>
      </c>
      <c r="C157" s="88"/>
      <c r="D157" s="88"/>
      <c r="E157" s="88"/>
      <c r="F157" s="88"/>
      <c r="G157" s="88"/>
      <c r="H157" s="88"/>
      <c r="I157" s="88"/>
      <c r="J157" s="88">
        <v>3380</v>
      </c>
    </row>
    <row r="158" spans="1:10">
      <c r="A158" s="88" t="s">
        <v>247</v>
      </c>
      <c r="B158" s="88">
        <v>3380</v>
      </c>
      <c r="C158" s="88"/>
      <c r="D158" s="88"/>
      <c r="E158" s="88"/>
      <c r="F158" s="88"/>
      <c r="G158" s="88"/>
      <c r="H158" s="88"/>
      <c r="I158" s="88"/>
      <c r="J158" s="88">
        <v>3380</v>
      </c>
    </row>
    <row r="159" spans="1:10">
      <c r="A159" s="88" t="s">
        <v>336</v>
      </c>
      <c r="B159" s="88">
        <v>3112</v>
      </c>
      <c r="C159" s="88"/>
      <c r="D159" s="88"/>
      <c r="E159" s="88"/>
      <c r="F159" s="88"/>
      <c r="G159" s="88"/>
      <c r="H159" s="88"/>
      <c r="I159" s="88"/>
      <c r="J159" s="88">
        <v>3112</v>
      </c>
    </row>
    <row r="160" spans="1:10">
      <c r="A160" s="88" t="s">
        <v>314</v>
      </c>
      <c r="B160" s="88">
        <v>3112</v>
      </c>
      <c r="C160" s="88"/>
      <c r="D160" s="88"/>
      <c r="E160" s="88"/>
      <c r="F160" s="88"/>
      <c r="G160" s="88"/>
      <c r="H160" s="88"/>
      <c r="I160" s="88"/>
      <c r="J160" s="88">
        <v>3112</v>
      </c>
    </row>
    <row r="161" spans="1:10">
      <c r="A161" s="88" t="s">
        <v>94</v>
      </c>
      <c r="B161" s="88">
        <v>3112</v>
      </c>
      <c r="C161" s="88"/>
      <c r="D161" s="88"/>
      <c r="E161" s="88"/>
      <c r="F161" s="88"/>
      <c r="G161" s="88"/>
      <c r="H161" s="88"/>
      <c r="I161" s="88"/>
      <c r="J161" s="88">
        <v>3112</v>
      </c>
    </row>
    <row r="162" spans="1:10">
      <c r="A162" s="88" t="s">
        <v>326</v>
      </c>
      <c r="B162" s="88">
        <v>3112</v>
      </c>
      <c r="C162" s="88"/>
      <c r="D162" s="88"/>
      <c r="E162" s="88"/>
      <c r="F162" s="88"/>
      <c r="G162" s="88"/>
      <c r="H162" s="88"/>
      <c r="I162" s="88"/>
      <c r="J162" s="88">
        <v>3112</v>
      </c>
    </row>
    <row r="163" spans="1:10">
      <c r="A163" s="88" t="s">
        <v>319</v>
      </c>
      <c r="B163" s="88">
        <v>3112</v>
      </c>
      <c r="C163" s="88"/>
      <c r="D163" s="88"/>
      <c r="E163" s="88"/>
      <c r="F163" s="88"/>
      <c r="G163" s="88"/>
      <c r="H163" s="88"/>
      <c r="I163" s="88"/>
      <c r="J163" s="88">
        <v>3112</v>
      </c>
    </row>
    <row r="164" spans="1:10">
      <c r="A164" s="88" t="s">
        <v>287</v>
      </c>
      <c r="B164" s="88">
        <v>3112</v>
      </c>
      <c r="C164" s="88"/>
      <c r="D164" s="88"/>
      <c r="E164" s="88"/>
      <c r="F164" s="88"/>
      <c r="G164" s="88"/>
      <c r="H164" s="88"/>
      <c r="I164" s="88"/>
      <c r="J164" s="88">
        <v>3112</v>
      </c>
    </row>
    <row r="165" spans="1:10">
      <c r="A165" s="88" t="s">
        <v>379</v>
      </c>
      <c r="B165" s="88">
        <v>3112</v>
      </c>
      <c r="C165" s="88"/>
      <c r="D165" s="88"/>
      <c r="E165" s="88"/>
      <c r="F165" s="88"/>
      <c r="G165" s="88"/>
      <c r="H165" s="88"/>
      <c r="I165" s="88"/>
      <c r="J165" s="88">
        <v>3112</v>
      </c>
    </row>
    <row r="166" spans="1:10">
      <c r="A166" s="88" t="s">
        <v>382</v>
      </c>
      <c r="B166" s="88">
        <v>3112</v>
      </c>
      <c r="C166" s="88"/>
      <c r="D166" s="88"/>
      <c r="E166" s="88"/>
      <c r="F166" s="88"/>
      <c r="G166" s="88"/>
      <c r="H166" s="88"/>
      <c r="I166" s="88"/>
      <c r="J166" s="88">
        <v>3112</v>
      </c>
    </row>
    <row r="167" spans="1:10">
      <c r="A167" s="88" t="s">
        <v>309</v>
      </c>
      <c r="B167" s="88">
        <v>3112</v>
      </c>
      <c r="C167" s="88"/>
      <c r="D167" s="88"/>
      <c r="E167" s="88"/>
      <c r="F167" s="88"/>
      <c r="G167" s="88"/>
      <c r="H167" s="88"/>
      <c r="I167" s="88"/>
      <c r="J167" s="88">
        <v>3112</v>
      </c>
    </row>
    <row r="168" spans="1:10">
      <c r="A168" s="88" t="s">
        <v>321</v>
      </c>
      <c r="B168" s="88">
        <v>3112</v>
      </c>
      <c r="C168" s="88"/>
      <c r="D168" s="88"/>
      <c r="E168" s="88"/>
      <c r="F168" s="88"/>
      <c r="G168" s="88"/>
      <c r="H168" s="88"/>
      <c r="I168" s="88"/>
      <c r="J168" s="88">
        <v>3112</v>
      </c>
    </row>
    <row r="169" spans="1:10">
      <c r="A169" s="88" t="s">
        <v>271</v>
      </c>
      <c r="B169" s="88">
        <v>2334</v>
      </c>
      <c r="C169" s="88">
        <v>684</v>
      </c>
      <c r="D169" s="88"/>
      <c r="E169" s="88"/>
      <c r="F169" s="88"/>
      <c r="G169" s="88"/>
      <c r="H169" s="88"/>
      <c r="I169" s="88"/>
      <c r="J169" s="88">
        <v>3018</v>
      </c>
    </row>
    <row r="170" spans="1:10">
      <c r="A170" s="88" t="s">
        <v>263</v>
      </c>
      <c r="B170" s="88">
        <v>2334</v>
      </c>
      <c r="C170" s="88">
        <v>684</v>
      </c>
      <c r="D170" s="88"/>
      <c r="E170" s="88"/>
      <c r="F170" s="88"/>
      <c r="G170" s="88"/>
      <c r="H170" s="88"/>
      <c r="I170" s="88"/>
      <c r="J170" s="88">
        <v>3018</v>
      </c>
    </row>
    <row r="171" spans="1:10">
      <c r="A171" s="88" t="s">
        <v>256</v>
      </c>
      <c r="B171" s="88">
        <v>2960</v>
      </c>
      <c r="C171" s="88"/>
      <c r="D171" s="88"/>
      <c r="E171" s="88"/>
      <c r="F171" s="88"/>
      <c r="G171" s="88"/>
      <c r="H171" s="88"/>
      <c r="I171" s="88"/>
      <c r="J171" s="88">
        <v>2960</v>
      </c>
    </row>
    <row r="172" spans="1:10">
      <c r="A172" s="88" t="s">
        <v>351</v>
      </c>
      <c r="B172" s="88"/>
      <c r="C172" s="88"/>
      <c r="D172" s="88"/>
      <c r="E172" s="88"/>
      <c r="F172" s="88"/>
      <c r="G172" s="88">
        <v>1368</v>
      </c>
      <c r="H172" s="88">
        <v>1368</v>
      </c>
      <c r="I172" s="88"/>
      <c r="J172" s="88">
        <v>2736</v>
      </c>
    </row>
    <row r="173" spans="1:10">
      <c r="A173" s="88" t="s">
        <v>337</v>
      </c>
      <c r="B173" s="88"/>
      <c r="C173" s="88"/>
      <c r="D173" s="88"/>
      <c r="E173" s="88">
        <v>912</v>
      </c>
      <c r="F173" s="88">
        <v>912</v>
      </c>
      <c r="G173" s="88"/>
      <c r="H173" s="88">
        <v>912</v>
      </c>
      <c r="I173" s="88"/>
      <c r="J173" s="88">
        <v>2736</v>
      </c>
    </row>
    <row r="174" spans="1:10">
      <c r="A174" s="88" t="s">
        <v>154</v>
      </c>
      <c r="B174" s="88"/>
      <c r="C174" s="88">
        <v>1368</v>
      </c>
      <c r="D174" s="88">
        <v>1368</v>
      </c>
      <c r="E174" s="88"/>
      <c r="F174" s="88"/>
      <c r="G174" s="88"/>
      <c r="H174" s="88"/>
      <c r="I174" s="88"/>
      <c r="J174" s="88">
        <v>2736</v>
      </c>
    </row>
    <row r="175" spans="1:10">
      <c r="A175" s="88" t="s">
        <v>347</v>
      </c>
      <c r="B175" s="88"/>
      <c r="C175" s="88"/>
      <c r="D175" s="88">
        <v>912</v>
      </c>
      <c r="E175" s="88">
        <v>912</v>
      </c>
      <c r="F175" s="88">
        <v>912</v>
      </c>
      <c r="G175" s="88"/>
      <c r="H175" s="88"/>
      <c r="I175" s="88"/>
      <c r="J175" s="88">
        <v>2736</v>
      </c>
    </row>
    <row r="176" spans="1:10">
      <c r="A176" s="88" t="s">
        <v>206</v>
      </c>
      <c r="B176" s="88"/>
      <c r="C176" s="88"/>
      <c r="D176" s="88"/>
      <c r="E176" s="88"/>
      <c r="F176" s="88">
        <v>912</v>
      </c>
      <c r="G176" s="88">
        <v>912</v>
      </c>
      <c r="H176" s="88"/>
      <c r="I176" s="88">
        <v>912</v>
      </c>
      <c r="J176" s="88">
        <v>2736</v>
      </c>
    </row>
    <row r="177" spans="1:10">
      <c r="A177" s="88" t="s">
        <v>277</v>
      </c>
      <c r="B177" s="88">
        <v>1556</v>
      </c>
      <c r="C177" s="88">
        <v>456</v>
      </c>
      <c r="D177" s="88">
        <v>458</v>
      </c>
      <c r="E177" s="88"/>
      <c r="F177" s="88"/>
      <c r="G177" s="88"/>
      <c r="H177" s="88"/>
      <c r="I177" s="88"/>
      <c r="J177" s="88">
        <v>2470</v>
      </c>
    </row>
    <row r="178" spans="1:10">
      <c r="A178" s="88" t="s">
        <v>270</v>
      </c>
      <c r="B178" s="88">
        <v>1556</v>
      </c>
      <c r="C178" s="88">
        <v>456</v>
      </c>
      <c r="D178" s="88">
        <v>456</v>
      </c>
      <c r="E178" s="88"/>
      <c r="F178" s="88"/>
      <c r="G178" s="88"/>
      <c r="H178" s="88"/>
      <c r="I178" s="88"/>
      <c r="J178" s="88">
        <v>2468</v>
      </c>
    </row>
    <row r="179" spans="1:10">
      <c r="A179" s="88" t="s">
        <v>283</v>
      </c>
      <c r="B179" s="88">
        <v>2334</v>
      </c>
      <c r="C179" s="88"/>
      <c r="D179" s="88"/>
      <c r="E179" s="88"/>
      <c r="F179" s="88"/>
      <c r="G179" s="88"/>
      <c r="H179" s="88"/>
      <c r="I179" s="88"/>
      <c r="J179" s="88">
        <v>2334</v>
      </c>
    </row>
    <row r="180" spans="1:10">
      <c r="A180" s="88" t="s">
        <v>333</v>
      </c>
      <c r="B180" s="88">
        <v>2312</v>
      </c>
      <c r="C180" s="88"/>
      <c r="D180" s="88"/>
      <c r="E180" s="88"/>
      <c r="F180" s="88"/>
      <c r="G180" s="88"/>
      <c r="H180" s="88"/>
      <c r="I180" s="88"/>
      <c r="J180" s="88">
        <v>2312</v>
      </c>
    </row>
    <row r="181" spans="1:10">
      <c r="A181" s="88" t="s">
        <v>332</v>
      </c>
      <c r="B181" s="88"/>
      <c r="C181" s="88"/>
      <c r="D181" s="88"/>
      <c r="E181" s="88">
        <v>2280</v>
      </c>
      <c r="F181" s="88"/>
      <c r="G181" s="88"/>
      <c r="H181" s="88"/>
      <c r="I181" s="88"/>
      <c r="J181" s="88">
        <v>2280</v>
      </c>
    </row>
    <row r="182" spans="1:10">
      <c r="A182" s="88" t="s">
        <v>354</v>
      </c>
      <c r="B182" s="88"/>
      <c r="C182" s="88">
        <v>912</v>
      </c>
      <c r="D182" s="88">
        <v>912</v>
      </c>
      <c r="E182" s="88"/>
      <c r="F182" s="88"/>
      <c r="G182" s="88"/>
      <c r="H182" s="88"/>
      <c r="I182" s="88"/>
      <c r="J182" s="88">
        <v>1824</v>
      </c>
    </row>
    <row r="183" spans="1:10">
      <c r="A183" s="88" t="s">
        <v>331</v>
      </c>
      <c r="B183" s="88">
        <v>1556</v>
      </c>
      <c r="C183" s="88"/>
      <c r="D183" s="88"/>
      <c r="E183" s="88"/>
      <c r="F183" s="88"/>
      <c r="G183" s="88"/>
      <c r="H183" s="88"/>
      <c r="I183" s="88"/>
      <c r="J183" s="88">
        <v>1556</v>
      </c>
    </row>
    <row r="184" spans="1:10">
      <c r="A184" s="88" t="s">
        <v>313</v>
      </c>
      <c r="B184" s="88">
        <v>1400</v>
      </c>
      <c r="C184" s="88"/>
      <c r="D184" s="88"/>
      <c r="E184" s="88"/>
      <c r="F184" s="88"/>
      <c r="G184" s="88"/>
      <c r="H184" s="88"/>
      <c r="I184" s="88"/>
      <c r="J184" s="88">
        <v>1400</v>
      </c>
    </row>
    <row r="185" spans="1:10">
      <c r="A185" s="88" t="s">
        <v>316</v>
      </c>
      <c r="B185" s="88">
        <v>1400</v>
      </c>
      <c r="C185" s="88"/>
      <c r="D185" s="88"/>
      <c r="E185" s="88"/>
      <c r="F185" s="88"/>
      <c r="G185" s="88"/>
      <c r="H185" s="88"/>
      <c r="I185" s="88"/>
      <c r="J185" s="88">
        <v>1400</v>
      </c>
    </row>
    <row r="186" spans="1:10">
      <c r="A186" s="88" t="s">
        <v>315</v>
      </c>
      <c r="B186" s="88">
        <v>1400</v>
      </c>
      <c r="C186" s="88"/>
      <c r="D186" s="88"/>
      <c r="E186" s="88"/>
      <c r="F186" s="88"/>
      <c r="G186" s="88"/>
      <c r="H186" s="88"/>
      <c r="I186" s="88"/>
      <c r="J186" s="88">
        <v>1400</v>
      </c>
    </row>
    <row r="187" spans="1:10">
      <c r="A187" s="88" t="s">
        <v>322</v>
      </c>
      <c r="B187" s="88">
        <v>778</v>
      </c>
      <c r="C187" s="88"/>
      <c r="D187" s="88"/>
      <c r="E187" s="88">
        <v>228</v>
      </c>
      <c r="F187" s="88">
        <v>228</v>
      </c>
      <c r="G187" s="88"/>
      <c r="H187" s="88"/>
      <c r="I187" s="88"/>
      <c r="J187" s="88">
        <v>1234</v>
      </c>
    </row>
    <row r="188" spans="1:10">
      <c r="A188" s="88" t="s">
        <v>376</v>
      </c>
      <c r="B188" s="88"/>
      <c r="C188" s="88">
        <v>1140</v>
      </c>
      <c r="D188" s="88"/>
      <c r="E188" s="88"/>
      <c r="F188" s="88"/>
      <c r="G188" s="88"/>
      <c r="H188" s="88"/>
      <c r="I188" s="88"/>
      <c r="J188" s="88">
        <v>1140</v>
      </c>
    </row>
    <row r="189" spans="1:10">
      <c r="A189" s="88" t="s">
        <v>305</v>
      </c>
      <c r="B189" s="88">
        <v>778</v>
      </c>
      <c r="C189" s="88">
        <v>228</v>
      </c>
      <c r="D189" s="88"/>
      <c r="E189" s="88"/>
      <c r="F189" s="88"/>
      <c r="G189" s="88"/>
      <c r="H189" s="88"/>
      <c r="I189" s="88"/>
      <c r="J189" s="88">
        <v>1006</v>
      </c>
    </row>
    <row r="190" spans="1:10">
      <c r="A190" s="88" t="s">
        <v>344</v>
      </c>
      <c r="B190" s="88"/>
      <c r="C190" s="88"/>
      <c r="D190" s="88"/>
      <c r="E190" s="88"/>
      <c r="F190" s="88"/>
      <c r="G190" s="88">
        <v>912</v>
      </c>
      <c r="H190" s="88"/>
      <c r="I190" s="88"/>
      <c r="J190" s="88">
        <v>912</v>
      </c>
    </row>
    <row r="191" spans="1:10">
      <c r="A191" s="88" t="s">
        <v>348</v>
      </c>
      <c r="B191" s="88"/>
      <c r="C191" s="88"/>
      <c r="D191" s="88"/>
      <c r="E191" s="88">
        <v>912</v>
      </c>
      <c r="F191" s="88"/>
      <c r="G191" s="88"/>
      <c r="H191" s="88"/>
      <c r="I191" s="88"/>
      <c r="J191" s="88">
        <v>912</v>
      </c>
    </row>
    <row r="192" spans="1:10">
      <c r="A192" s="88" t="s">
        <v>306</v>
      </c>
      <c r="B192" s="88"/>
      <c r="C192" s="88">
        <v>456</v>
      </c>
      <c r="D192" s="88">
        <v>456</v>
      </c>
      <c r="E192" s="88"/>
      <c r="F192" s="88"/>
      <c r="G192" s="88"/>
      <c r="H192" s="88"/>
      <c r="I192" s="88"/>
      <c r="J192" s="88">
        <v>912</v>
      </c>
    </row>
    <row r="193" spans="1:10">
      <c r="A193" s="88" t="s">
        <v>340</v>
      </c>
      <c r="B193" s="88"/>
      <c r="C193" s="88">
        <v>912</v>
      </c>
      <c r="D193" s="88"/>
      <c r="E193" s="88"/>
      <c r="F193" s="88"/>
      <c r="G193" s="88"/>
      <c r="H193" s="88"/>
      <c r="I193" s="88"/>
      <c r="J193" s="88">
        <v>912</v>
      </c>
    </row>
    <row r="194" spans="1:10">
      <c r="A194" s="88" t="s">
        <v>155</v>
      </c>
      <c r="B194" s="88"/>
      <c r="C194" s="88"/>
      <c r="D194" s="88"/>
      <c r="E194" s="88">
        <v>912</v>
      </c>
      <c r="F194" s="88"/>
      <c r="G194" s="88"/>
      <c r="H194" s="88"/>
      <c r="I194" s="88"/>
      <c r="J194" s="88">
        <v>912</v>
      </c>
    </row>
    <row r="195" spans="1:10">
      <c r="A195" s="88" t="s">
        <v>355</v>
      </c>
      <c r="B195" s="88"/>
      <c r="C195" s="88"/>
      <c r="D195" s="88">
        <v>912</v>
      </c>
      <c r="E195" s="88"/>
      <c r="F195" s="88"/>
      <c r="G195" s="88"/>
      <c r="H195" s="88"/>
      <c r="I195" s="88"/>
      <c r="J195" s="88">
        <v>912</v>
      </c>
    </row>
    <row r="196" spans="1:10">
      <c r="A196" s="88" t="s">
        <v>329</v>
      </c>
      <c r="B196" s="88"/>
      <c r="C196" s="88"/>
      <c r="D196" s="88">
        <v>760</v>
      </c>
      <c r="E196" s="88"/>
      <c r="F196" s="88"/>
      <c r="G196" s="88"/>
      <c r="H196" s="88"/>
      <c r="I196" s="88"/>
      <c r="J196" s="88">
        <v>760</v>
      </c>
    </row>
    <row r="197" spans="1:10">
      <c r="A197" s="88" t="s">
        <v>172</v>
      </c>
      <c r="B197" s="88"/>
      <c r="C197" s="88"/>
      <c r="D197" s="88"/>
      <c r="E197" s="88">
        <v>684</v>
      </c>
      <c r="F197" s="88"/>
      <c r="G197" s="88"/>
      <c r="H197" s="88"/>
      <c r="I197" s="88"/>
      <c r="J197" s="88">
        <v>684</v>
      </c>
    </row>
    <row r="198" spans="1:10">
      <c r="A198" s="88" t="s">
        <v>447</v>
      </c>
      <c r="B198" s="88">
        <v>973028</v>
      </c>
      <c r="C198" s="88">
        <v>173870</v>
      </c>
      <c r="D198" s="88">
        <v>120910</v>
      </c>
      <c r="E198" s="88">
        <v>92782</v>
      </c>
      <c r="F198" s="88">
        <v>57114</v>
      </c>
      <c r="G198" s="88">
        <v>30780</v>
      </c>
      <c r="H198" s="88">
        <v>14136</v>
      </c>
      <c r="I198" s="88">
        <v>8664</v>
      </c>
      <c r="J198" s="88">
        <v>1471284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910F-8A23-41AF-8081-DB41EC3F84EA}">
  <dimension ref="A2:B16"/>
  <sheetViews>
    <sheetView topLeftCell="A10" workbookViewId="0">
      <selection activeCell="B23" sqref="B23"/>
    </sheetView>
  </sheetViews>
  <sheetFormatPr defaultRowHeight="15"/>
  <cols>
    <col min="1" max="1" width="11.140625" bestFit="1" customWidth="1"/>
    <col min="2" max="3" width="22.42578125" bestFit="1" customWidth="1"/>
    <col min="4" max="4" width="7.42578125" bestFit="1" customWidth="1"/>
    <col min="5" max="9" width="6.28515625" bestFit="1" customWidth="1"/>
    <col min="10" max="10" width="11.140625" bestFit="1" customWidth="1"/>
    <col min="11" max="11" width="22.7109375" bestFit="1" customWidth="1"/>
    <col min="12" max="12" width="22.42578125" bestFit="1" customWidth="1"/>
    <col min="13" max="13" width="22.7109375" bestFit="1" customWidth="1"/>
    <col min="14" max="14" width="22.42578125" bestFit="1" customWidth="1"/>
    <col min="15" max="15" width="22.7109375" bestFit="1" customWidth="1"/>
    <col min="16" max="16" width="22.42578125" bestFit="1" customWidth="1"/>
    <col min="17" max="17" width="22.7109375" bestFit="1" customWidth="1"/>
    <col min="18" max="18" width="27.28515625" bestFit="1" customWidth="1"/>
    <col min="19" max="19" width="27.5703125" bestFit="1" customWidth="1"/>
  </cols>
  <sheetData>
    <row r="2" spans="1:2">
      <c r="A2" s="118" t="s">
        <v>246</v>
      </c>
      <c r="B2" s="88" t="s">
        <v>446</v>
      </c>
    </row>
    <row r="3" spans="1:2">
      <c r="A3" s="88">
        <v>2013</v>
      </c>
      <c r="B3" s="88">
        <v>3380</v>
      </c>
    </row>
    <row r="4" spans="1:2">
      <c r="A4" s="88">
        <v>2014</v>
      </c>
      <c r="B4" s="88">
        <v>19970</v>
      </c>
    </row>
    <row r="5" spans="1:2">
      <c r="A5" s="88">
        <v>2015</v>
      </c>
      <c r="B5" s="88">
        <v>13190</v>
      </c>
    </row>
    <row r="6" spans="1:2">
      <c r="A6" s="88">
        <v>2016</v>
      </c>
      <c r="B6" s="88">
        <v>59198</v>
      </c>
    </row>
    <row r="7" spans="1:2">
      <c r="A7" s="88">
        <v>2017</v>
      </c>
      <c r="B7" s="88">
        <v>75896</v>
      </c>
    </row>
    <row r="8" spans="1:2">
      <c r="A8" s="88">
        <v>2018</v>
      </c>
      <c r="B8" s="88">
        <v>193420</v>
      </c>
    </row>
    <row r="9" spans="1:2">
      <c r="A9" s="88">
        <v>2019</v>
      </c>
      <c r="B9" s="88">
        <v>36176</v>
      </c>
    </row>
    <row r="10" spans="1:2">
      <c r="A10" s="88">
        <v>2020</v>
      </c>
      <c r="B10" s="88">
        <v>136417</v>
      </c>
    </row>
    <row r="11" spans="1:2">
      <c r="A11" s="88">
        <v>2021</v>
      </c>
      <c r="B11" s="88">
        <v>105084</v>
      </c>
    </row>
    <row r="12" spans="1:2">
      <c r="A12" s="88">
        <v>2022</v>
      </c>
      <c r="B12" s="88">
        <v>174985</v>
      </c>
    </row>
    <row r="13" spans="1:2">
      <c r="A13" s="88">
        <v>2023</v>
      </c>
      <c r="B13" s="88">
        <v>145798</v>
      </c>
    </row>
    <row r="14" spans="1:2">
      <c r="A14" s="88">
        <v>2024</v>
      </c>
      <c r="B14" s="88">
        <v>366182</v>
      </c>
    </row>
    <row r="15" spans="1:2">
      <c r="A15" s="88" t="s">
        <v>378</v>
      </c>
      <c r="B15" s="88">
        <v>141588</v>
      </c>
    </row>
    <row r="16" spans="1:2">
      <c r="A16" s="88" t="s">
        <v>447</v>
      </c>
      <c r="B16" s="88">
        <v>1471284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EFB0216D65FC449E990AA9EBE1460B" ma:contentTypeVersion="11" ma:contentTypeDescription="Create a new document." ma:contentTypeScope="" ma:versionID="8b7c31cd0421742f4ddca1b870d0d909">
  <xsd:schema xmlns:xsd="http://www.w3.org/2001/XMLSchema" xmlns:xs="http://www.w3.org/2001/XMLSchema" xmlns:p="http://schemas.microsoft.com/office/2006/metadata/properties" xmlns:ns2="b51fe37e-a8ed-43a7-b6e3-26905885050e" xmlns:ns3="1d40c115-37e6-4de3-8922-f25d6224c9e2" targetNamespace="http://schemas.microsoft.com/office/2006/metadata/properties" ma:root="true" ma:fieldsID="2b91a87c176e434735ddf43148bbeb3e" ns2:_="" ns3:_="">
    <xsd:import namespace="b51fe37e-a8ed-43a7-b6e3-26905885050e"/>
    <xsd:import namespace="1d40c115-37e6-4de3-8922-f25d6224c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inks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fe37e-a8ed-43a7-b6e3-269058850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inks" ma:index="12" nillable="true" ma:displayName="Links" ma:format="Hyperlink" ma:internalName="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c115-37e6-4de3-8922-f25d6224c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s xmlns="b51fe37e-a8ed-43a7-b6e3-26905885050e">
      <Url xsi:nil="true"/>
      <Description xsi:nil="true"/>
    </Links>
    <SharedWithUsers xmlns="1d40c115-37e6-4de3-8922-f25d6224c9e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13341-187F-4F85-B298-0F9DC59D1947}"/>
</file>

<file path=customXml/itemProps2.xml><?xml version="1.0" encoding="utf-8"?>
<ds:datastoreItem xmlns:ds="http://schemas.openxmlformats.org/officeDocument/2006/customXml" ds:itemID="{9F222FEB-E128-4CBA-B424-5690D4ABA36D}"/>
</file>

<file path=customXml/itemProps3.xml><?xml version="1.0" encoding="utf-8"?>
<ds:datastoreItem xmlns:ds="http://schemas.openxmlformats.org/officeDocument/2006/customXml" ds:itemID="{5FF656BB-2BF2-49A7-A0EA-6DD1948C6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Zvika Shtorch</dc:creator>
  <cp:keywords/>
  <dc:description/>
  <cp:lastModifiedBy/>
  <cp:revision/>
  <dcterms:created xsi:type="dcterms:W3CDTF">2024-07-29T06:39:08Z</dcterms:created>
  <dcterms:modified xsi:type="dcterms:W3CDTF">2026-03-09T09:44:24Z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ProgID">
    <vt:lpwstr/>
  </property>
  <property fmtid="{D5CDD505-2E9C-101B-9397-08002B2CF9AE}" pid="3" name="ContentTypeId">
    <vt:lpwstr>0x010100D3EFB0216D65FC449E990AA9EBE1460B</vt:lpwstr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</Properties>
</file>